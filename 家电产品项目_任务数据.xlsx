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xuyihao/项目管理课题/离线看板进阶/"/>
    </mc:Choice>
  </mc:AlternateContent>
  <xr:revisionPtr revIDLastSave="0" documentId="13_ncr:1_{5AAE0E1A-0179-7844-9900-B226F9CF6298}" xr6:coauthVersionLast="47" xr6:coauthVersionMax="47" xr10:uidLastSave="{00000000-0000-0000-0000-000000000000}"/>
  <bookViews>
    <workbookView xWindow="0" yWindow="600" windowWidth="28160" windowHeight="15220" activeTab="2" xr2:uid="{00000000-000D-0000-FFFF-FFFF00000000}"/>
  </bookViews>
  <sheets>
    <sheet name="说明" sheetId="1" r:id="rId1"/>
    <sheet name="项目配置" sheetId="2" r:id="rId2"/>
    <sheet name="任务" sheetId="3" r:id="rId3"/>
    <sheet name="选项字典" sheetId="4" r:id="rId4"/>
    <sheet name="数据自检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0" i="5" l="1"/>
  <c r="G320" i="5"/>
  <c r="F320" i="5"/>
  <c r="E320" i="5"/>
  <c r="D320" i="5"/>
  <c r="B320" i="5"/>
  <c r="A320" i="5"/>
  <c r="I319" i="5"/>
  <c r="H319" i="5"/>
  <c r="G319" i="5"/>
  <c r="C319" i="5"/>
  <c r="B319" i="5"/>
  <c r="A319" i="5"/>
  <c r="H318" i="5"/>
  <c r="G318" i="5"/>
  <c r="D318" i="5"/>
  <c r="B318" i="5"/>
  <c r="A318" i="5"/>
  <c r="I317" i="5"/>
  <c r="G317" i="5"/>
  <c r="D317" i="5"/>
  <c r="C317" i="5"/>
  <c r="B317" i="5"/>
  <c r="A317" i="5"/>
  <c r="H316" i="5"/>
  <c r="G316" i="5"/>
  <c r="F316" i="5"/>
  <c r="E316" i="5"/>
  <c r="D316" i="5"/>
  <c r="B316" i="5"/>
  <c r="A316" i="5"/>
  <c r="H315" i="5"/>
  <c r="G315" i="5"/>
  <c r="E315" i="5"/>
  <c r="C315" i="5"/>
  <c r="B315" i="5"/>
  <c r="A315" i="5"/>
  <c r="H314" i="5"/>
  <c r="G314" i="5"/>
  <c r="E314" i="5"/>
  <c r="D314" i="5"/>
  <c r="B314" i="5"/>
  <c r="A314" i="5"/>
  <c r="I313" i="5"/>
  <c r="G313" i="5"/>
  <c r="E313" i="5"/>
  <c r="D313" i="5"/>
  <c r="C313" i="5"/>
  <c r="B313" i="5"/>
  <c r="A313" i="5"/>
  <c r="H312" i="5"/>
  <c r="G312" i="5"/>
  <c r="F312" i="5"/>
  <c r="E312" i="5"/>
  <c r="D312" i="5"/>
  <c r="B312" i="5"/>
  <c r="A312" i="5"/>
  <c r="B311" i="5"/>
  <c r="I311" i="5" s="1"/>
  <c r="A311" i="5"/>
  <c r="H310" i="5"/>
  <c r="G310" i="5"/>
  <c r="B310" i="5"/>
  <c r="A310" i="5"/>
  <c r="I309" i="5"/>
  <c r="B309" i="5"/>
  <c r="G309" i="5" s="1"/>
  <c r="A309" i="5"/>
  <c r="H308" i="5"/>
  <c r="G308" i="5"/>
  <c r="F308" i="5"/>
  <c r="E308" i="5"/>
  <c r="D308" i="5"/>
  <c r="B308" i="5"/>
  <c r="A308" i="5"/>
  <c r="H307" i="5"/>
  <c r="B307" i="5"/>
  <c r="G307" i="5" s="1"/>
  <c r="A307" i="5"/>
  <c r="G306" i="5"/>
  <c r="D306" i="5"/>
  <c r="B306" i="5"/>
  <c r="A306" i="5"/>
  <c r="I305" i="5"/>
  <c r="G305" i="5"/>
  <c r="E305" i="5"/>
  <c r="D305" i="5"/>
  <c r="C305" i="5"/>
  <c r="B305" i="5"/>
  <c r="A305" i="5"/>
  <c r="H304" i="5"/>
  <c r="G304" i="5"/>
  <c r="F304" i="5"/>
  <c r="E304" i="5"/>
  <c r="D304" i="5"/>
  <c r="B304" i="5"/>
  <c r="A304" i="5"/>
  <c r="H303" i="5"/>
  <c r="G303" i="5"/>
  <c r="B303" i="5"/>
  <c r="C303" i="5" s="1"/>
  <c r="A303" i="5"/>
  <c r="B302" i="5"/>
  <c r="A302" i="5"/>
  <c r="B301" i="5"/>
  <c r="I301" i="5" s="1"/>
  <c r="A301" i="5"/>
  <c r="H300" i="5"/>
  <c r="G300" i="5"/>
  <c r="F300" i="5"/>
  <c r="E300" i="5"/>
  <c r="D300" i="5"/>
  <c r="B300" i="5"/>
  <c r="A300" i="5"/>
  <c r="B299" i="5"/>
  <c r="A299" i="5"/>
  <c r="G298" i="5"/>
  <c r="E298" i="5"/>
  <c r="B298" i="5"/>
  <c r="A298" i="5"/>
  <c r="I297" i="5"/>
  <c r="G297" i="5"/>
  <c r="E297" i="5"/>
  <c r="D297" i="5"/>
  <c r="C297" i="5"/>
  <c r="B297" i="5"/>
  <c r="A297" i="5"/>
  <c r="H296" i="5"/>
  <c r="G296" i="5"/>
  <c r="F296" i="5"/>
  <c r="E296" i="5"/>
  <c r="D296" i="5"/>
  <c r="B296" i="5"/>
  <c r="A296" i="5"/>
  <c r="I295" i="5"/>
  <c r="H295" i="5"/>
  <c r="G295" i="5"/>
  <c r="C295" i="5"/>
  <c r="B295" i="5"/>
  <c r="A295" i="5"/>
  <c r="B294" i="5"/>
  <c r="A294" i="5"/>
  <c r="I293" i="5"/>
  <c r="G293" i="5"/>
  <c r="B293" i="5"/>
  <c r="A293" i="5"/>
  <c r="H292" i="5"/>
  <c r="G292" i="5"/>
  <c r="F292" i="5"/>
  <c r="E292" i="5"/>
  <c r="D292" i="5"/>
  <c r="B292" i="5"/>
  <c r="A292" i="5"/>
  <c r="H291" i="5"/>
  <c r="G291" i="5"/>
  <c r="E291" i="5"/>
  <c r="C291" i="5"/>
  <c r="B291" i="5"/>
  <c r="A291" i="5"/>
  <c r="H290" i="5"/>
  <c r="G290" i="5"/>
  <c r="E290" i="5"/>
  <c r="D290" i="5"/>
  <c r="B290" i="5"/>
  <c r="A290" i="5"/>
  <c r="I289" i="5"/>
  <c r="G289" i="5"/>
  <c r="E289" i="5"/>
  <c r="D289" i="5"/>
  <c r="C289" i="5"/>
  <c r="B289" i="5"/>
  <c r="A289" i="5"/>
  <c r="H288" i="5"/>
  <c r="G288" i="5"/>
  <c r="F288" i="5"/>
  <c r="E288" i="5"/>
  <c r="D288" i="5"/>
  <c r="B288" i="5"/>
  <c r="A288" i="5"/>
  <c r="H287" i="5"/>
  <c r="B287" i="5"/>
  <c r="C287" i="5" s="1"/>
  <c r="A287" i="5"/>
  <c r="B286" i="5"/>
  <c r="A286" i="5"/>
  <c r="I285" i="5"/>
  <c r="G285" i="5"/>
  <c r="B285" i="5"/>
  <c r="A285" i="5"/>
  <c r="H284" i="5"/>
  <c r="G284" i="5"/>
  <c r="F284" i="5"/>
  <c r="E284" i="5"/>
  <c r="D284" i="5"/>
  <c r="B284" i="5"/>
  <c r="A284" i="5"/>
  <c r="H283" i="5"/>
  <c r="G283" i="5"/>
  <c r="B283" i="5"/>
  <c r="A283" i="5"/>
  <c r="H282" i="5"/>
  <c r="G282" i="5"/>
  <c r="D282" i="5"/>
  <c r="B282" i="5"/>
  <c r="A282" i="5"/>
  <c r="I281" i="5"/>
  <c r="G281" i="5"/>
  <c r="E281" i="5"/>
  <c r="D281" i="5"/>
  <c r="C281" i="5"/>
  <c r="B281" i="5"/>
  <c r="A281" i="5"/>
  <c r="H280" i="5"/>
  <c r="G280" i="5"/>
  <c r="F280" i="5"/>
  <c r="E280" i="5"/>
  <c r="D280" i="5"/>
  <c r="B280" i="5"/>
  <c r="A280" i="5"/>
  <c r="H279" i="5"/>
  <c r="G279" i="5"/>
  <c r="B279" i="5"/>
  <c r="A279" i="5"/>
  <c r="B278" i="5"/>
  <c r="A278" i="5"/>
  <c r="D277" i="5"/>
  <c r="B277" i="5"/>
  <c r="C277" i="5" s="1"/>
  <c r="A277" i="5"/>
  <c r="H276" i="5"/>
  <c r="G276" i="5"/>
  <c r="F276" i="5"/>
  <c r="E276" i="5"/>
  <c r="D276" i="5"/>
  <c r="B276" i="5"/>
  <c r="A276" i="5"/>
  <c r="G275" i="5"/>
  <c r="E275" i="5"/>
  <c r="B275" i="5"/>
  <c r="C275" i="5" s="1"/>
  <c r="A275" i="5"/>
  <c r="B274" i="5"/>
  <c r="A274" i="5"/>
  <c r="I273" i="5"/>
  <c r="G273" i="5"/>
  <c r="E273" i="5"/>
  <c r="D273" i="5"/>
  <c r="C273" i="5"/>
  <c r="B273" i="5"/>
  <c r="A273" i="5"/>
  <c r="H272" i="5"/>
  <c r="G272" i="5"/>
  <c r="F272" i="5"/>
  <c r="E272" i="5"/>
  <c r="D272" i="5"/>
  <c r="B272" i="5"/>
  <c r="A272" i="5"/>
  <c r="I271" i="5"/>
  <c r="H271" i="5"/>
  <c r="G271" i="5"/>
  <c r="C271" i="5"/>
  <c r="B271" i="5"/>
  <c r="A271" i="5"/>
  <c r="H270" i="5"/>
  <c r="G270" i="5"/>
  <c r="D270" i="5"/>
  <c r="B270" i="5"/>
  <c r="A270" i="5"/>
  <c r="C269" i="5"/>
  <c r="B269" i="5"/>
  <c r="A269" i="5"/>
  <c r="H268" i="5"/>
  <c r="G268" i="5"/>
  <c r="F268" i="5"/>
  <c r="E268" i="5"/>
  <c r="D268" i="5"/>
  <c r="B268" i="5"/>
  <c r="A268" i="5"/>
  <c r="H267" i="5"/>
  <c r="G267" i="5"/>
  <c r="E267" i="5"/>
  <c r="C267" i="5"/>
  <c r="B267" i="5"/>
  <c r="A267" i="5"/>
  <c r="H266" i="5"/>
  <c r="G266" i="5"/>
  <c r="E266" i="5"/>
  <c r="D266" i="5"/>
  <c r="B266" i="5"/>
  <c r="A266" i="5"/>
  <c r="I265" i="5"/>
  <c r="G265" i="5"/>
  <c r="E265" i="5"/>
  <c r="D265" i="5"/>
  <c r="C265" i="5"/>
  <c r="B265" i="5"/>
  <c r="A265" i="5"/>
  <c r="H264" i="5"/>
  <c r="G264" i="5"/>
  <c r="F264" i="5"/>
  <c r="B264" i="5"/>
  <c r="A264" i="5"/>
  <c r="I263" i="5"/>
  <c r="H263" i="5"/>
  <c r="G263" i="5"/>
  <c r="C263" i="5"/>
  <c r="B263" i="5"/>
  <c r="A263" i="5"/>
  <c r="B262" i="5"/>
  <c r="D262" i="5" s="1"/>
  <c r="A262" i="5"/>
  <c r="H261" i="5"/>
  <c r="G261" i="5"/>
  <c r="E261" i="5"/>
  <c r="D261" i="5"/>
  <c r="C261" i="5"/>
  <c r="B261" i="5"/>
  <c r="F261" i="5" s="1"/>
  <c r="A261" i="5"/>
  <c r="B260" i="5"/>
  <c r="A260" i="5"/>
  <c r="B259" i="5"/>
  <c r="A259" i="5"/>
  <c r="B258" i="5"/>
  <c r="E258" i="5" s="1"/>
  <c r="A258" i="5"/>
  <c r="H257" i="5"/>
  <c r="G257" i="5"/>
  <c r="E257" i="5"/>
  <c r="D257" i="5"/>
  <c r="C257" i="5"/>
  <c r="B257" i="5"/>
  <c r="F257" i="5" s="1"/>
  <c r="A257" i="5"/>
  <c r="G256" i="5"/>
  <c r="B256" i="5"/>
  <c r="F256" i="5" s="1"/>
  <c r="A256" i="5"/>
  <c r="I255" i="5"/>
  <c r="H255" i="5"/>
  <c r="G255" i="5"/>
  <c r="D255" i="5"/>
  <c r="C255" i="5"/>
  <c r="B255" i="5"/>
  <c r="A255" i="5"/>
  <c r="H254" i="5"/>
  <c r="F254" i="5"/>
  <c r="E254" i="5"/>
  <c r="D254" i="5"/>
  <c r="B254" i="5"/>
  <c r="A254" i="5"/>
  <c r="H253" i="5"/>
  <c r="G253" i="5"/>
  <c r="E253" i="5"/>
  <c r="D253" i="5"/>
  <c r="C253" i="5"/>
  <c r="B253" i="5"/>
  <c r="F253" i="5" s="1"/>
  <c r="A253" i="5"/>
  <c r="B252" i="5"/>
  <c r="H252" i="5" s="1"/>
  <c r="A252" i="5"/>
  <c r="B251" i="5"/>
  <c r="A251" i="5"/>
  <c r="H250" i="5"/>
  <c r="B250" i="5"/>
  <c r="F250" i="5" s="1"/>
  <c r="A250" i="5"/>
  <c r="H249" i="5"/>
  <c r="G249" i="5"/>
  <c r="E249" i="5"/>
  <c r="D249" i="5"/>
  <c r="C249" i="5"/>
  <c r="B249" i="5"/>
  <c r="F249" i="5" s="1"/>
  <c r="A249" i="5"/>
  <c r="H248" i="5"/>
  <c r="B248" i="5"/>
  <c r="F248" i="5" s="1"/>
  <c r="A248" i="5"/>
  <c r="G247" i="5"/>
  <c r="D247" i="5"/>
  <c r="B247" i="5"/>
  <c r="C247" i="5" s="1"/>
  <c r="A247" i="5"/>
  <c r="B246" i="5"/>
  <c r="A246" i="5"/>
  <c r="H245" i="5"/>
  <c r="G245" i="5"/>
  <c r="E245" i="5"/>
  <c r="D245" i="5"/>
  <c r="C245" i="5"/>
  <c r="B245" i="5"/>
  <c r="F245" i="5" s="1"/>
  <c r="A245" i="5"/>
  <c r="F244" i="5"/>
  <c r="B244" i="5"/>
  <c r="A244" i="5"/>
  <c r="I243" i="5"/>
  <c r="H243" i="5"/>
  <c r="G243" i="5"/>
  <c r="D243" i="5"/>
  <c r="C243" i="5"/>
  <c r="B243" i="5"/>
  <c r="A243" i="5"/>
  <c r="H242" i="5"/>
  <c r="F242" i="5"/>
  <c r="E242" i="5"/>
  <c r="D242" i="5"/>
  <c r="B242" i="5"/>
  <c r="A242" i="5"/>
  <c r="H241" i="5"/>
  <c r="G241" i="5"/>
  <c r="E241" i="5"/>
  <c r="D241" i="5"/>
  <c r="C241" i="5"/>
  <c r="B241" i="5"/>
  <c r="F241" i="5" s="1"/>
  <c r="A241" i="5"/>
  <c r="H240" i="5"/>
  <c r="G240" i="5"/>
  <c r="F240" i="5"/>
  <c r="B240" i="5"/>
  <c r="A240" i="5"/>
  <c r="I239" i="5"/>
  <c r="H239" i="5"/>
  <c r="G239" i="5"/>
  <c r="C239" i="5"/>
  <c r="B239" i="5"/>
  <c r="A239" i="5"/>
  <c r="I238" i="5"/>
  <c r="G238" i="5"/>
  <c r="F238" i="5"/>
  <c r="E238" i="5"/>
  <c r="D238" i="5"/>
  <c r="C238" i="5"/>
  <c r="B238" i="5"/>
  <c r="H238" i="5" s="1"/>
  <c r="A238" i="5"/>
  <c r="H237" i="5"/>
  <c r="G237" i="5"/>
  <c r="F237" i="5"/>
  <c r="D237" i="5"/>
  <c r="C237" i="5"/>
  <c r="B237" i="5"/>
  <c r="E237" i="5" s="1"/>
  <c r="A237" i="5"/>
  <c r="I236" i="5"/>
  <c r="G236" i="5"/>
  <c r="F236" i="5"/>
  <c r="E236" i="5"/>
  <c r="D236" i="5"/>
  <c r="C236" i="5"/>
  <c r="B236" i="5"/>
  <c r="H236" i="5" s="1"/>
  <c r="A236" i="5"/>
  <c r="B235" i="5"/>
  <c r="A235" i="5"/>
  <c r="I234" i="5"/>
  <c r="G234" i="5"/>
  <c r="F234" i="5"/>
  <c r="E234" i="5"/>
  <c r="D234" i="5"/>
  <c r="C234" i="5"/>
  <c r="B234" i="5"/>
  <c r="H234" i="5" s="1"/>
  <c r="A234" i="5"/>
  <c r="I233" i="5"/>
  <c r="H233" i="5"/>
  <c r="G233" i="5"/>
  <c r="B233" i="5"/>
  <c r="C233" i="5" s="1"/>
  <c r="A233" i="5"/>
  <c r="I232" i="5"/>
  <c r="G232" i="5"/>
  <c r="F232" i="5"/>
  <c r="E232" i="5"/>
  <c r="D232" i="5"/>
  <c r="C232" i="5"/>
  <c r="B232" i="5"/>
  <c r="H232" i="5" s="1"/>
  <c r="A232" i="5"/>
  <c r="H231" i="5"/>
  <c r="G231" i="5"/>
  <c r="F231" i="5"/>
  <c r="D231" i="5"/>
  <c r="C231" i="5"/>
  <c r="B231" i="5"/>
  <c r="E231" i="5" s="1"/>
  <c r="A231" i="5"/>
  <c r="I230" i="5"/>
  <c r="G230" i="5"/>
  <c r="F230" i="5"/>
  <c r="E230" i="5"/>
  <c r="D230" i="5"/>
  <c r="C230" i="5"/>
  <c r="B230" i="5"/>
  <c r="H230" i="5" s="1"/>
  <c r="A230" i="5"/>
  <c r="I229" i="5"/>
  <c r="H229" i="5"/>
  <c r="F229" i="5"/>
  <c r="C229" i="5"/>
  <c r="B229" i="5"/>
  <c r="A229" i="5"/>
  <c r="I228" i="5"/>
  <c r="G228" i="5"/>
  <c r="F228" i="5"/>
  <c r="E228" i="5"/>
  <c r="D228" i="5"/>
  <c r="C228" i="5"/>
  <c r="B228" i="5"/>
  <c r="H228" i="5" s="1"/>
  <c r="A228" i="5"/>
  <c r="H227" i="5"/>
  <c r="G227" i="5"/>
  <c r="B227" i="5"/>
  <c r="F227" i="5" s="1"/>
  <c r="A227" i="5"/>
  <c r="I226" i="5"/>
  <c r="G226" i="5"/>
  <c r="F226" i="5"/>
  <c r="E226" i="5"/>
  <c r="D226" i="5"/>
  <c r="C226" i="5"/>
  <c r="B226" i="5"/>
  <c r="H226" i="5" s="1"/>
  <c r="A226" i="5"/>
  <c r="H225" i="5"/>
  <c r="G225" i="5"/>
  <c r="F225" i="5"/>
  <c r="D225" i="5"/>
  <c r="C225" i="5"/>
  <c r="B225" i="5"/>
  <c r="E225" i="5" s="1"/>
  <c r="A225" i="5"/>
  <c r="I224" i="5"/>
  <c r="G224" i="5"/>
  <c r="F224" i="5"/>
  <c r="E224" i="5"/>
  <c r="D224" i="5"/>
  <c r="C224" i="5"/>
  <c r="B224" i="5"/>
  <c r="H224" i="5" s="1"/>
  <c r="A224" i="5"/>
  <c r="H223" i="5"/>
  <c r="F223" i="5"/>
  <c r="D223" i="5"/>
  <c r="B223" i="5"/>
  <c r="C223" i="5" s="1"/>
  <c r="A223" i="5"/>
  <c r="I222" i="5"/>
  <c r="G222" i="5"/>
  <c r="F222" i="5"/>
  <c r="E222" i="5"/>
  <c r="D222" i="5"/>
  <c r="C222" i="5"/>
  <c r="B222" i="5"/>
  <c r="H222" i="5" s="1"/>
  <c r="A222" i="5"/>
  <c r="B221" i="5"/>
  <c r="A221" i="5"/>
  <c r="I220" i="5"/>
  <c r="G220" i="5"/>
  <c r="F220" i="5"/>
  <c r="E220" i="5"/>
  <c r="D220" i="5"/>
  <c r="C220" i="5"/>
  <c r="B220" i="5"/>
  <c r="H220" i="5" s="1"/>
  <c r="A220" i="5"/>
  <c r="H219" i="5"/>
  <c r="G219" i="5"/>
  <c r="F219" i="5"/>
  <c r="D219" i="5"/>
  <c r="C219" i="5"/>
  <c r="B219" i="5"/>
  <c r="E219" i="5" s="1"/>
  <c r="A219" i="5"/>
  <c r="I218" i="5"/>
  <c r="G218" i="5"/>
  <c r="F218" i="5"/>
  <c r="E218" i="5"/>
  <c r="D218" i="5"/>
  <c r="C218" i="5"/>
  <c r="B218" i="5"/>
  <c r="H218" i="5" s="1"/>
  <c r="A218" i="5"/>
  <c r="I217" i="5"/>
  <c r="H217" i="5"/>
  <c r="B217" i="5"/>
  <c r="F217" i="5" s="1"/>
  <c r="A217" i="5"/>
  <c r="I216" i="5"/>
  <c r="G216" i="5"/>
  <c r="F216" i="5"/>
  <c r="E216" i="5"/>
  <c r="D216" i="5"/>
  <c r="C216" i="5"/>
  <c r="B216" i="5"/>
  <c r="H216" i="5" s="1"/>
  <c r="A216" i="5"/>
  <c r="B215" i="5"/>
  <c r="C215" i="5" s="1"/>
  <c r="A215" i="5"/>
  <c r="I214" i="5"/>
  <c r="G214" i="5"/>
  <c r="F214" i="5"/>
  <c r="E214" i="5"/>
  <c r="D214" i="5"/>
  <c r="C214" i="5"/>
  <c r="B214" i="5"/>
  <c r="H214" i="5" s="1"/>
  <c r="A214" i="5"/>
  <c r="H213" i="5"/>
  <c r="G213" i="5"/>
  <c r="F213" i="5"/>
  <c r="D213" i="5"/>
  <c r="C213" i="5"/>
  <c r="B213" i="5"/>
  <c r="E213" i="5" s="1"/>
  <c r="A213" i="5"/>
  <c r="I212" i="5"/>
  <c r="G212" i="5"/>
  <c r="F212" i="5"/>
  <c r="E212" i="5"/>
  <c r="D212" i="5"/>
  <c r="C212" i="5"/>
  <c r="B212" i="5"/>
  <c r="H212" i="5" s="1"/>
  <c r="A212" i="5"/>
  <c r="H211" i="5"/>
  <c r="B211" i="5"/>
  <c r="A211" i="5"/>
  <c r="G210" i="5"/>
  <c r="F210" i="5"/>
  <c r="E210" i="5"/>
  <c r="D210" i="5"/>
  <c r="C210" i="5"/>
  <c r="B210" i="5"/>
  <c r="H210" i="5" s="1"/>
  <c r="A210" i="5"/>
  <c r="B209" i="5"/>
  <c r="A209" i="5"/>
  <c r="I208" i="5"/>
  <c r="G208" i="5"/>
  <c r="F208" i="5"/>
  <c r="E208" i="5"/>
  <c r="D208" i="5"/>
  <c r="C208" i="5"/>
  <c r="B208" i="5"/>
  <c r="H208" i="5" s="1"/>
  <c r="A208" i="5"/>
  <c r="H207" i="5"/>
  <c r="G207" i="5"/>
  <c r="F207" i="5"/>
  <c r="D207" i="5"/>
  <c r="C207" i="5"/>
  <c r="B207" i="5"/>
  <c r="E207" i="5" s="1"/>
  <c r="A207" i="5"/>
  <c r="I206" i="5"/>
  <c r="G206" i="5"/>
  <c r="F206" i="5"/>
  <c r="E206" i="5"/>
  <c r="D206" i="5"/>
  <c r="C206" i="5"/>
  <c r="B206" i="5"/>
  <c r="H206" i="5" s="1"/>
  <c r="A206" i="5"/>
  <c r="B205" i="5"/>
  <c r="A205" i="5"/>
  <c r="I204" i="5"/>
  <c r="G204" i="5"/>
  <c r="F204" i="5"/>
  <c r="E204" i="5"/>
  <c r="D204" i="5"/>
  <c r="C204" i="5"/>
  <c r="B204" i="5"/>
  <c r="H204" i="5" s="1"/>
  <c r="A204" i="5"/>
  <c r="I203" i="5"/>
  <c r="H203" i="5"/>
  <c r="G203" i="5"/>
  <c r="B203" i="5"/>
  <c r="F203" i="5" s="1"/>
  <c r="A203" i="5"/>
  <c r="I202" i="5"/>
  <c r="G202" i="5"/>
  <c r="F202" i="5"/>
  <c r="E202" i="5"/>
  <c r="D202" i="5"/>
  <c r="C202" i="5"/>
  <c r="B202" i="5"/>
  <c r="H202" i="5" s="1"/>
  <c r="A202" i="5"/>
  <c r="H201" i="5"/>
  <c r="G201" i="5"/>
  <c r="F201" i="5"/>
  <c r="D201" i="5"/>
  <c r="C201" i="5"/>
  <c r="B201" i="5"/>
  <c r="E201" i="5" s="1"/>
  <c r="A201" i="5"/>
  <c r="I200" i="5"/>
  <c r="G200" i="5"/>
  <c r="F200" i="5"/>
  <c r="E200" i="5"/>
  <c r="D200" i="5"/>
  <c r="C200" i="5"/>
  <c r="B200" i="5"/>
  <c r="H200" i="5" s="1"/>
  <c r="A200" i="5"/>
  <c r="I199" i="5"/>
  <c r="H199" i="5"/>
  <c r="F199" i="5"/>
  <c r="B199" i="5"/>
  <c r="D199" i="5" s="1"/>
  <c r="A199" i="5"/>
  <c r="I198" i="5"/>
  <c r="G198" i="5"/>
  <c r="F198" i="5"/>
  <c r="E198" i="5"/>
  <c r="D198" i="5"/>
  <c r="C198" i="5"/>
  <c r="B198" i="5"/>
  <c r="H198" i="5" s="1"/>
  <c r="A198" i="5"/>
  <c r="F197" i="5"/>
  <c r="B197" i="5"/>
  <c r="A197" i="5"/>
  <c r="I196" i="5"/>
  <c r="G196" i="5"/>
  <c r="F196" i="5"/>
  <c r="E196" i="5"/>
  <c r="D196" i="5"/>
  <c r="C196" i="5"/>
  <c r="B196" i="5"/>
  <c r="H196" i="5" s="1"/>
  <c r="A196" i="5"/>
  <c r="H195" i="5"/>
  <c r="G195" i="5"/>
  <c r="F195" i="5"/>
  <c r="D195" i="5"/>
  <c r="C195" i="5"/>
  <c r="B195" i="5"/>
  <c r="E195" i="5" s="1"/>
  <c r="A195" i="5"/>
  <c r="I194" i="5"/>
  <c r="G194" i="5"/>
  <c r="F194" i="5"/>
  <c r="E194" i="5"/>
  <c r="D194" i="5"/>
  <c r="C194" i="5"/>
  <c r="B194" i="5"/>
  <c r="H194" i="5" s="1"/>
  <c r="A194" i="5"/>
  <c r="B193" i="5"/>
  <c r="C193" i="5" s="1"/>
  <c r="A193" i="5"/>
  <c r="I192" i="5"/>
  <c r="G192" i="5"/>
  <c r="F192" i="5"/>
  <c r="E192" i="5"/>
  <c r="D192" i="5"/>
  <c r="C192" i="5"/>
  <c r="B192" i="5"/>
  <c r="H192" i="5" s="1"/>
  <c r="A192" i="5"/>
  <c r="I191" i="5"/>
  <c r="H191" i="5"/>
  <c r="G191" i="5"/>
  <c r="B191" i="5"/>
  <c r="F191" i="5" s="1"/>
  <c r="A191" i="5"/>
  <c r="I190" i="5"/>
  <c r="G190" i="5"/>
  <c r="F190" i="5"/>
  <c r="E190" i="5"/>
  <c r="D190" i="5"/>
  <c r="C190" i="5"/>
  <c r="B190" i="5"/>
  <c r="H190" i="5" s="1"/>
  <c r="A190" i="5"/>
  <c r="H189" i="5"/>
  <c r="G189" i="5"/>
  <c r="F189" i="5"/>
  <c r="D189" i="5"/>
  <c r="C189" i="5"/>
  <c r="B189" i="5"/>
  <c r="E189" i="5" s="1"/>
  <c r="A189" i="5"/>
  <c r="I188" i="5"/>
  <c r="G188" i="5"/>
  <c r="F188" i="5"/>
  <c r="E188" i="5"/>
  <c r="D188" i="5"/>
  <c r="C188" i="5"/>
  <c r="B188" i="5"/>
  <c r="H188" i="5" s="1"/>
  <c r="A188" i="5"/>
  <c r="I187" i="5"/>
  <c r="H187" i="5"/>
  <c r="F187" i="5"/>
  <c r="B187" i="5"/>
  <c r="D187" i="5" s="1"/>
  <c r="A187" i="5"/>
  <c r="I186" i="5"/>
  <c r="G186" i="5"/>
  <c r="F186" i="5"/>
  <c r="E186" i="5"/>
  <c r="D186" i="5"/>
  <c r="C186" i="5"/>
  <c r="B186" i="5"/>
  <c r="H186" i="5" s="1"/>
  <c r="A186" i="5"/>
  <c r="B185" i="5"/>
  <c r="A185" i="5"/>
  <c r="I184" i="5"/>
  <c r="G184" i="5"/>
  <c r="F184" i="5"/>
  <c r="E184" i="5"/>
  <c r="D184" i="5"/>
  <c r="C184" i="5"/>
  <c r="B184" i="5"/>
  <c r="H184" i="5" s="1"/>
  <c r="A184" i="5"/>
  <c r="H183" i="5"/>
  <c r="G183" i="5"/>
  <c r="F183" i="5"/>
  <c r="D183" i="5"/>
  <c r="C183" i="5"/>
  <c r="B183" i="5"/>
  <c r="E183" i="5" s="1"/>
  <c r="A183" i="5"/>
  <c r="I182" i="5"/>
  <c r="G182" i="5"/>
  <c r="F182" i="5"/>
  <c r="E182" i="5"/>
  <c r="D182" i="5"/>
  <c r="C182" i="5"/>
  <c r="B182" i="5"/>
  <c r="H182" i="5" s="1"/>
  <c r="A182" i="5"/>
  <c r="D181" i="5"/>
  <c r="C181" i="5"/>
  <c r="B181" i="5"/>
  <c r="A181" i="5"/>
  <c r="I180" i="5"/>
  <c r="G180" i="5"/>
  <c r="F180" i="5"/>
  <c r="E180" i="5"/>
  <c r="D180" i="5"/>
  <c r="C180" i="5"/>
  <c r="B180" i="5"/>
  <c r="H180" i="5" s="1"/>
  <c r="A180" i="5"/>
  <c r="I179" i="5"/>
  <c r="H179" i="5"/>
  <c r="G179" i="5"/>
  <c r="B179" i="5"/>
  <c r="F179" i="5" s="1"/>
  <c r="A179" i="5"/>
  <c r="I178" i="5"/>
  <c r="G178" i="5"/>
  <c r="F178" i="5"/>
  <c r="E178" i="5"/>
  <c r="D178" i="5"/>
  <c r="C178" i="5"/>
  <c r="B178" i="5"/>
  <c r="H178" i="5" s="1"/>
  <c r="A178" i="5"/>
  <c r="H177" i="5"/>
  <c r="G177" i="5"/>
  <c r="F177" i="5"/>
  <c r="D177" i="5"/>
  <c r="C177" i="5"/>
  <c r="B177" i="5"/>
  <c r="E177" i="5" s="1"/>
  <c r="A177" i="5"/>
  <c r="I176" i="5"/>
  <c r="G176" i="5"/>
  <c r="F176" i="5"/>
  <c r="E176" i="5"/>
  <c r="D176" i="5"/>
  <c r="C176" i="5"/>
  <c r="B176" i="5"/>
  <c r="H176" i="5" s="1"/>
  <c r="A176" i="5"/>
  <c r="I175" i="5"/>
  <c r="H175" i="5"/>
  <c r="F175" i="5"/>
  <c r="B175" i="5"/>
  <c r="D175" i="5" s="1"/>
  <c r="A175" i="5"/>
  <c r="I174" i="5"/>
  <c r="G174" i="5"/>
  <c r="F174" i="5"/>
  <c r="E174" i="5"/>
  <c r="D174" i="5"/>
  <c r="C174" i="5"/>
  <c r="B174" i="5"/>
  <c r="H174" i="5" s="1"/>
  <c r="A174" i="5"/>
  <c r="B173" i="5"/>
  <c r="A173" i="5"/>
  <c r="I172" i="5"/>
  <c r="G172" i="5"/>
  <c r="F172" i="5"/>
  <c r="E172" i="5"/>
  <c r="D172" i="5"/>
  <c r="C172" i="5"/>
  <c r="B172" i="5"/>
  <c r="H172" i="5" s="1"/>
  <c r="A172" i="5"/>
  <c r="H171" i="5"/>
  <c r="G171" i="5"/>
  <c r="F171" i="5"/>
  <c r="D171" i="5"/>
  <c r="C171" i="5"/>
  <c r="B171" i="5"/>
  <c r="E171" i="5" s="1"/>
  <c r="A171" i="5"/>
  <c r="I170" i="5"/>
  <c r="G170" i="5"/>
  <c r="F170" i="5"/>
  <c r="E170" i="5"/>
  <c r="D170" i="5"/>
  <c r="C170" i="5"/>
  <c r="B170" i="5"/>
  <c r="H170" i="5" s="1"/>
  <c r="A170" i="5"/>
  <c r="B169" i="5"/>
  <c r="A169" i="5"/>
  <c r="I168" i="5"/>
  <c r="G168" i="5"/>
  <c r="F168" i="5"/>
  <c r="E168" i="5"/>
  <c r="D168" i="5"/>
  <c r="C168" i="5"/>
  <c r="B168" i="5"/>
  <c r="H168" i="5" s="1"/>
  <c r="A168" i="5"/>
  <c r="I167" i="5"/>
  <c r="H167" i="5"/>
  <c r="G167" i="5"/>
  <c r="B167" i="5"/>
  <c r="F167" i="5" s="1"/>
  <c r="A167" i="5"/>
  <c r="I166" i="5"/>
  <c r="G166" i="5"/>
  <c r="F166" i="5"/>
  <c r="E166" i="5"/>
  <c r="D166" i="5"/>
  <c r="C166" i="5"/>
  <c r="B166" i="5"/>
  <c r="H166" i="5" s="1"/>
  <c r="A166" i="5"/>
  <c r="H165" i="5"/>
  <c r="G165" i="5"/>
  <c r="F165" i="5"/>
  <c r="D165" i="5"/>
  <c r="C165" i="5"/>
  <c r="B165" i="5"/>
  <c r="E165" i="5" s="1"/>
  <c r="A165" i="5"/>
  <c r="I164" i="5"/>
  <c r="G164" i="5"/>
  <c r="F164" i="5"/>
  <c r="E164" i="5"/>
  <c r="D164" i="5"/>
  <c r="C164" i="5"/>
  <c r="B164" i="5"/>
  <c r="H164" i="5" s="1"/>
  <c r="A164" i="5"/>
  <c r="I163" i="5"/>
  <c r="H163" i="5"/>
  <c r="F163" i="5"/>
  <c r="B163" i="5"/>
  <c r="D163" i="5" s="1"/>
  <c r="A163" i="5"/>
  <c r="I162" i="5"/>
  <c r="G162" i="5"/>
  <c r="F162" i="5"/>
  <c r="E162" i="5"/>
  <c r="D162" i="5"/>
  <c r="C162" i="5"/>
  <c r="B162" i="5"/>
  <c r="H162" i="5" s="1"/>
  <c r="A162" i="5"/>
  <c r="F161" i="5"/>
  <c r="B161" i="5"/>
  <c r="A161" i="5"/>
  <c r="I160" i="5"/>
  <c r="G160" i="5"/>
  <c r="F160" i="5"/>
  <c r="E160" i="5"/>
  <c r="D160" i="5"/>
  <c r="C160" i="5"/>
  <c r="B160" i="5"/>
  <c r="H160" i="5" s="1"/>
  <c r="A160" i="5"/>
  <c r="H159" i="5"/>
  <c r="G159" i="5"/>
  <c r="F159" i="5"/>
  <c r="D159" i="5"/>
  <c r="C159" i="5"/>
  <c r="B159" i="5"/>
  <c r="E159" i="5" s="1"/>
  <c r="A159" i="5"/>
  <c r="I158" i="5"/>
  <c r="G158" i="5"/>
  <c r="F158" i="5"/>
  <c r="E158" i="5"/>
  <c r="D158" i="5"/>
  <c r="C158" i="5"/>
  <c r="B158" i="5"/>
  <c r="H158" i="5" s="1"/>
  <c r="A158" i="5"/>
  <c r="B157" i="5"/>
  <c r="C157" i="5" s="1"/>
  <c r="A157" i="5"/>
  <c r="I156" i="5"/>
  <c r="G156" i="5"/>
  <c r="F156" i="5"/>
  <c r="E156" i="5"/>
  <c r="D156" i="5"/>
  <c r="C156" i="5"/>
  <c r="B156" i="5"/>
  <c r="H156" i="5" s="1"/>
  <c r="A156" i="5"/>
  <c r="I155" i="5"/>
  <c r="H155" i="5"/>
  <c r="G155" i="5"/>
  <c r="B155" i="5"/>
  <c r="F155" i="5" s="1"/>
  <c r="A155" i="5"/>
  <c r="I154" i="5"/>
  <c r="G154" i="5"/>
  <c r="F154" i="5"/>
  <c r="E154" i="5"/>
  <c r="D154" i="5"/>
  <c r="C154" i="5"/>
  <c r="B154" i="5"/>
  <c r="H154" i="5" s="1"/>
  <c r="A154" i="5"/>
  <c r="H153" i="5"/>
  <c r="G153" i="5"/>
  <c r="F153" i="5"/>
  <c r="D153" i="5"/>
  <c r="C153" i="5"/>
  <c r="B153" i="5"/>
  <c r="E153" i="5" s="1"/>
  <c r="A153" i="5"/>
  <c r="I152" i="5"/>
  <c r="G152" i="5"/>
  <c r="F152" i="5"/>
  <c r="E152" i="5"/>
  <c r="D152" i="5"/>
  <c r="C152" i="5"/>
  <c r="B152" i="5"/>
  <c r="H152" i="5" s="1"/>
  <c r="A152" i="5"/>
  <c r="I151" i="5"/>
  <c r="H151" i="5"/>
  <c r="F151" i="5"/>
  <c r="B151" i="5"/>
  <c r="D151" i="5" s="1"/>
  <c r="A151" i="5"/>
  <c r="I150" i="5"/>
  <c r="G150" i="5"/>
  <c r="F150" i="5"/>
  <c r="E150" i="5"/>
  <c r="D150" i="5"/>
  <c r="C150" i="5"/>
  <c r="B150" i="5"/>
  <c r="H150" i="5" s="1"/>
  <c r="A150" i="5"/>
  <c r="B149" i="5"/>
  <c r="A149" i="5"/>
  <c r="I148" i="5"/>
  <c r="G148" i="5"/>
  <c r="F148" i="5"/>
  <c r="E148" i="5"/>
  <c r="D148" i="5"/>
  <c r="C148" i="5"/>
  <c r="B148" i="5"/>
  <c r="H148" i="5" s="1"/>
  <c r="A148" i="5"/>
  <c r="H147" i="5"/>
  <c r="G147" i="5"/>
  <c r="F147" i="5"/>
  <c r="D147" i="5"/>
  <c r="C147" i="5"/>
  <c r="B147" i="5"/>
  <c r="E147" i="5" s="1"/>
  <c r="A147" i="5"/>
  <c r="I146" i="5"/>
  <c r="G146" i="5"/>
  <c r="F146" i="5"/>
  <c r="E146" i="5"/>
  <c r="D146" i="5"/>
  <c r="C146" i="5"/>
  <c r="B146" i="5"/>
  <c r="H146" i="5" s="1"/>
  <c r="A146" i="5"/>
  <c r="D145" i="5"/>
  <c r="C145" i="5"/>
  <c r="B145" i="5"/>
  <c r="A145" i="5"/>
  <c r="I144" i="5"/>
  <c r="G144" i="5"/>
  <c r="F144" i="5"/>
  <c r="E144" i="5"/>
  <c r="D144" i="5"/>
  <c r="C144" i="5"/>
  <c r="B144" i="5"/>
  <c r="H144" i="5" s="1"/>
  <c r="A144" i="5"/>
  <c r="I143" i="5"/>
  <c r="H143" i="5"/>
  <c r="G143" i="5"/>
  <c r="B143" i="5"/>
  <c r="F143" i="5" s="1"/>
  <c r="A143" i="5"/>
  <c r="I142" i="5"/>
  <c r="G142" i="5"/>
  <c r="F142" i="5"/>
  <c r="E142" i="5"/>
  <c r="D142" i="5"/>
  <c r="C142" i="5"/>
  <c r="B142" i="5"/>
  <c r="H142" i="5" s="1"/>
  <c r="A142" i="5"/>
  <c r="H141" i="5"/>
  <c r="G141" i="5"/>
  <c r="F141" i="5"/>
  <c r="D141" i="5"/>
  <c r="C141" i="5"/>
  <c r="B141" i="5"/>
  <c r="E141" i="5" s="1"/>
  <c r="A141" i="5"/>
  <c r="I140" i="5"/>
  <c r="G140" i="5"/>
  <c r="F140" i="5"/>
  <c r="E140" i="5"/>
  <c r="D140" i="5"/>
  <c r="C140" i="5"/>
  <c r="B140" i="5"/>
  <c r="H140" i="5" s="1"/>
  <c r="A140" i="5"/>
  <c r="I139" i="5"/>
  <c r="H139" i="5"/>
  <c r="F139" i="5"/>
  <c r="B139" i="5"/>
  <c r="D139" i="5" s="1"/>
  <c r="A139" i="5"/>
  <c r="I138" i="5"/>
  <c r="G138" i="5"/>
  <c r="F138" i="5"/>
  <c r="E138" i="5"/>
  <c r="D138" i="5"/>
  <c r="C138" i="5"/>
  <c r="B138" i="5"/>
  <c r="H138" i="5" s="1"/>
  <c r="A138" i="5"/>
  <c r="B137" i="5"/>
  <c r="A137" i="5"/>
  <c r="I136" i="5"/>
  <c r="G136" i="5"/>
  <c r="F136" i="5"/>
  <c r="E136" i="5"/>
  <c r="D136" i="5"/>
  <c r="C136" i="5"/>
  <c r="B136" i="5"/>
  <c r="H136" i="5" s="1"/>
  <c r="A136" i="5"/>
  <c r="H135" i="5"/>
  <c r="G135" i="5"/>
  <c r="F135" i="5"/>
  <c r="D135" i="5"/>
  <c r="C135" i="5"/>
  <c r="B135" i="5"/>
  <c r="E135" i="5" s="1"/>
  <c r="A135" i="5"/>
  <c r="I134" i="5"/>
  <c r="G134" i="5"/>
  <c r="F134" i="5"/>
  <c r="E134" i="5"/>
  <c r="D134" i="5"/>
  <c r="C134" i="5"/>
  <c r="B134" i="5"/>
  <c r="H134" i="5" s="1"/>
  <c r="A134" i="5"/>
  <c r="B133" i="5"/>
  <c r="A133" i="5"/>
  <c r="I132" i="5"/>
  <c r="G132" i="5"/>
  <c r="F132" i="5"/>
  <c r="E132" i="5"/>
  <c r="D132" i="5"/>
  <c r="C132" i="5"/>
  <c r="B132" i="5"/>
  <c r="H132" i="5" s="1"/>
  <c r="A132" i="5"/>
  <c r="I131" i="5"/>
  <c r="H131" i="5"/>
  <c r="G131" i="5"/>
  <c r="B131" i="5"/>
  <c r="F131" i="5" s="1"/>
  <c r="A131" i="5"/>
  <c r="I130" i="5"/>
  <c r="G130" i="5"/>
  <c r="F130" i="5"/>
  <c r="E130" i="5"/>
  <c r="D130" i="5"/>
  <c r="C130" i="5"/>
  <c r="B130" i="5"/>
  <c r="H130" i="5" s="1"/>
  <c r="A130" i="5"/>
  <c r="H129" i="5"/>
  <c r="G129" i="5"/>
  <c r="F129" i="5"/>
  <c r="D129" i="5"/>
  <c r="C129" i="5"/>
  <c r="B129" i="5"/>
  <c r="E129" i="5" s="1"/>
  <c r="A129" i="5"/>
  <c r="I128" i="5"/>
  <c r="G128" i="5"/>
  <c r="F128" i="5"/>
  <c r="E128" i="5"/>
  <c r="D128" i="5"/>
  <c r="C128" i="5"/>
  <c r="B128" i="5"/>
  <c r="H128" i="5" s="1"/>
  <c r="A128" i="5"/>
  <c r="I127" i="5"/>
  <c r="H127" i="5"/>
  <c r="F127" i="5"/>
  <c r="B127" i="5"/>
  <c r="D127" i="5" s="1"/>
  <c r="A127" i="5"/>
  <c r="I126" i="5"/>
  <c r="G126" i="5"/>
  <c r="F126" i="5"/>
  <c r="E126" i="5"/>
  <c r="D126" i="5"/>
  <c r="C126" i="5"/>
  <c r="B126" i="5"/>
  <c r="H126" i="5" s="1"/>
  <c r="A126" i="5"/>
  <c r="F125" i="5"/>
  <c r="B125" i="5"/>
  <c r="A125" i="5"/>
  <c r="I124" i="5"/>
  <c r="G124" i="5"/>
  <c r="F124" i="5"/>
  <c r="E124" i="5"/>
  <c r="D124" i="5"/>
  <c r="C124" i="5"/>
  <c r="B124" i="5"/>
  <c r="H124" i="5" s="1"/>
  <c r="A124" i="5"/>
  <c r="H123" i="5"/>
  <c r="G123" i="5"/>
  <c r="F123" i="5"/>
  <c r="D123" i="5"/>
  <c r="C123" i="5"/>
  <c r="B123" i="5"/>
  <c r="E123" i="5" s="1"/>
  <c r="A123" i="5"/>
  <c r="I122" i="5"/>
  <c r="G122" i="5"/>
  <c r="F122" i="5"/>
  <c r="E122" i="5"/>
  <c r="D122" i="5"/>
  <c r="C122" i="5"/>
  <c r="B122" i="5"/>
  <c r="H122" i="5" s="1"/>
  <c r="A122" i="5"/>
  <c r="B121" i="5"/>
  <c r="C121" i="5" s="1"/>
  <c r="A121" i="5"/>
  <c r="I120" i="5"/>
  <c r="G120" i="5"/>
  <c r="F120" i="5"/>
  <c r="E120" i="5"/>
  <c r="D120" i="5"/>
  <c r="C120" i="5"/>
  <c r="B120" i="5"/>
  <c r="H120" i="5" s="1"/>
  <c r="A120" i="5"/>
  <c r="I119" i="5"/>
  <c r="H119" i="5"/>
  <c r="G119" i="5"/>
  <c r="B119" i="5"/>
  <c r="F119" i="5" s="1"/>
  <c r="A119" i="5"/>
  <c r="I118" i="5"/>
  <c r="G118" i="5"/>
  <c r="F118" i="5"/>
  <c r="E118" i="5"/>
  <c r="D118" i="5"/>
  <c r="C118" i="5"/>
  <c r="B118" i="5"/>
  <c r="H118" i="5" s="1"/>
  <c r="A118" i="5"/>
  <c r="H117" i="5"/>
  <c r="G117" i="5"/>
  <c r="F117" i="5"/>
  <c r="D117" i="5"/>
  <c r="C117" i="5"/>
  <c r="B117" i="5"/>
  <c r="E117" i="5" s="1"/>
  <c r="A117" i="5"/>
  <c r="I116" i="5"/>
  <c r="G116" i="5"/>
  <c r="F116" i="5"/>
  <c r="E116" i="5"/>
  <c r="D116" i="5"/>
  <c r="C116" i="5"/>
  <c r="B116" i="5"/>
  <c r="H116" i="5" s="1"/>
  <c r="A116" i="5"/>
  <c r="I115" i="5"/>
  <c r="H115" i="5"/>
  <c r="F115" i="5"/>
  <c r="B115" i="5"/>
  <c r="D115" i="5" s="1"/>
  <c r="A115" i="5"/>
  <c r="I114" i="5"/>
  <c r="G114" i="5"/>
  <c r="F114" i="5"/>
  <c r="E114" i="5"/>
  <c r="D114" i="5"/>
  <c r="C114" i="5"/>
  <c r="B114" i="5"/>
  <c r="H114" i="5" s="1"/>
  <c r="A114" i="5"/>
  <c r="B113" i="5"/>
  <c r="A113" i="5"/>
  <c r="I112" i="5"/>
  <c r="G112" i="5"/>
  <c r="F112" i="5"/>
  <c r="E112" i="5"/>
  <c r="D112" i="5"/>
  <c r="C112" i="5"/>
  <c r="B112" i="5"/>
  <c r="H112" i="5" s="1"/>
  <c r="A112" i="5"/>
  <c r="H111" i="5"/>
  <c r="G111" i="5"/>
  <c r="F111" i="5"/>
  <c r="D111" i="5"/>
  <c r="C111" i="5"/>
  <c r="B111" i="5"/>
  <c r="E111" i="5" s="1"/>
  <c r="A111" i="5"/>
  <c r="I110" i="5"/>
  <c r="G110" i="5"/>
  <c r="F110" i="5"/>
  <c r="E110" i="5"/>
  <c r="D110" i="5"/>
  <c r="C110" i="5"/>
  <c r="B110" i="5"/>
  <c r="H110" i="5" s="1"/>
  <c r="A110" i="5"/>
  <c r="D109" i="5"/>
  <c r="C109" i="5"/>
  <c r="B109" i="5"/>
  <c r="A109" i="5"/>
  <c r="I108" i="5"/>
  <c r="G108" i="5"/>
  <c r="F108" i="5"/>
  <c r="E108" i="5"/>
  <c r="D108" i="5"/>
  <c r="C108" i="5"/>
  <c r="B108" i="5"/>
  <c r="H108" i="5" s="1"/>
  <c r="A108" i="5"/>
  <c r="I107" i="5"/>
  <c r="H107" i="5"/>
  <c r="G107" i="5"/>
  <c r="B107" i="5"/>
  <c r="F107" i="5" s="1"/>
  <c r="A107" i="5"/>
  <c r="I106" i="5"/>
  <c r="G106" i="5"/>
  <c r="F106" i="5"/>
  <c r="E106" i="5"/>
  <c r="D106" i="5"/>
  <c r="C106" i="5"/>
  <c r="B106" i="5"/>
  <c r="H106" i="5" s="1"/>
  <c r="A106" i="5"/>
  <c r="H105" i="5"/>
  <c r="G105" i="5"/>
  <c r="F105" i="5"/>
  <c r="D105" i="5"/>
  <c r="C105" i="5"/>
  <c r="B105" i="5"/>
  <c r="E105" i="5" s="1"/>
  <c r="A105" i="5"/>
  <c r="I104" i="5"/>
  <c r="G104" i="5"/>
  <c r="F104" i="5"/>
  <c r="E104" i="5"/>
  <c r="D104" i="5"/>
  <c r="C104" i="5"/>
  <c r="B104" i="5"/>
  <c r="H104" i="5" s="1"/>
  <c r="A104" i="5"/>
  <c r="I103" i="5"/>
  <c r="H103" i="5"/>
  <c r="F103" i="5"/>
  <c r="B103" i="5"/>
  <c r="D103" i="5" s="1"/>
  <c r="A103" i="5"/>
  <c r="I102" i="5"/>
  <c r="G102" i="5"/>
  <c r="F102" i="5"/>
  <c r="E102" i="5"/>
  <c r="D102" i="5"/>
  <c r="C102" i="5"/>
  <c r="B102" i="5"/>
  <c r="H102" i="5" s="1"/>
  <c r="A102" i="5"/>
  <c r="B101" i="5"/>
  <c r="A101" i="5"/>
  <c r="I100" i="5"/>
  <c r="G100" i="5"/>
  <c r="F100" i="5"/>
  <c r="E100" i="5"/>
  <c r="D100" i="5"/>
  <c r="C100" i="5"/>
  <c r="B100" i="5"/>
  <c r="H100" i="5" s="1"/>
  <c r="A100" i="5"/>
  <c r="H99" i="5"/>
  <c r="G99" i="5"/>
  <c r="F99" i="5"/>
  <c r="D99" i="5"/>
  <c r="C99" i="5"/>
  <c r="B99" i="5"/>
  <c r="E99" i="5" s="1"/>
  <c r="A99" i="5"/>
  <c r="I98" i="5"/>
  <c r="G98" i="5"/>
  <c r="F98" i="5"/>
  <c r="E98" i="5"/>
  <c r="D98" i="5"/>
  <c r="C98" i="5"/>
  <c r="B98" i="5"/>
  <c r="H98" i="5" s="1"/>
  <c r="A98" i="5"/>
  <c r="B97" i="5"/>
  <c r="A97" i="5"/>
  <c r="I96" i="5"/>
  <c r="G96" i="5"/>
  <c r="F96" i="5"/>
  <c r="E96" i="5"/>
  <c r="D96" i="5"/>
  <c r="C96" i="5"/>
  <c r="B96" i="5"/>
  <c r="H96" i="5" s="1"/>
  <c r="A96" i="5"/>
  <c r="I95" i="5"/>
  <c r="H95" i="5"/>
  <c r="G95" i="5"/>
  <c r="B95" i="5"/>
  <c r="F95" i="5" s="1"/>
  <c r="A95" i="5"/>
  <c r="I94" i="5"/>
  <c r="G94" i="5"/>
  <c r="F94" i="5"/>
  <c r="E94" i="5"/>
  <c r="D94" i="5"/>
  <c r="C94" i="5"/>
  <c r="B94" i="5"/>
  <c r="H94" i="5" s="1"/>
  <c r="A94" i="5"/>
  <c r="H93" i="5"/>
  <c r="G93" i="5"/>
  <c r="F93" i="5"/>
  <c r="D93" i="5"/>
  <c r="C93" i="5"/>
  <c r="B93" i="5"/>
  <c r="E93" i="5" s="1"/>
  <c r="A93" i="5"/>
  <c r="H92" i="5"/>
  <c r="G92" i="5"/>
  <c r="F92" i="5"/>
  <c r="D92" i="5"/>
  <c r="B92" i="5"/>
  <c r="E92" i="5" s="1"/>
  <c r="A92" i="5"/>
  <c r="I91" i="5"/>
  <c r="G91" i="5"/>
  <c r="F91" i="5"/>
  <c r="E91" i="5"/>
  <c r="D91" i="5"/>
  <c r="C91" i="5"/>
  <c r="B91" i="5"/>
  <c r="H91" i="5" s="1"/>
  <c r="A91" i="5"/>
  <c r="I90" i="5"/>
  <c r="D90" i="5"/>
  <c r="B90" i="5"/>
  <c r="A90" i="5"/>
  <c r="I89" i="5"/>
  <c r="G89" i="5"/>
  <c r="F89" i="5"/>
  <c r="E89" i="5"/>
  <c r="D89" i="5"/>
  <c r="C89" i="5"/>
  <c r="B89" i="5"/>
  <c r="H89" i="5" s="1"/>
  <c r="A89" i="5"/>
  <c r="I88" i="5"/>
  <c r="B88" i="5"/>
  <c r="A88" i="5"/>
  <c r="I87" i="5"/>
  <c r="G87" i="5"/>
  <c r="F87" i="5"/>
  <c r="E87" i="5"/>
  <c r="D87" i="5"/>
  <c r="C87" i="5"/>
  <c r="B87" i="5"/>
  <c r="H87" i="5" s="1"/>
  <c r="A87" i="5"/>
  <c r="H86" i="5"/>
  <c r="G86" i="5"/>
  <c r="F86" i="5"/>
  <c r="D86" i="5"/>
  <c r="B86" i="5"/>
  <c r="E86" i="5" s="1"/>
  <c r="A86" i="5"/>
  <c r="I85" i="5"/>
  <c r="G85" i="5"/>
  <c r="F85" i="5"/>
  <c r="E85" i="5"/>
  <c r="D85" i="5"/>
  <c r="C85" i="5"/>
  <c r="B85" i="5"/>
  <c r="H85" i="5" s="1"/>
  <c r="A85" i="5"/>
  <c r="B84" i="5"/>
  <c r="A84" i="5"/>
  <c r="I83" i="5"/>
  <c r="G83" i="5"/>
  <c r="F83" i="5"/>
  <c r="E83" i="5"/>
  <c r="D83" i="5"/>
  <c r="C83" i="5"/>
  <c r="B83" i="5"/>
  <c r="H83" i="5" s="1"/>
  <c r="A83" i="5"/>
  <c r="I82" i="5"/>
  <c r="H82" i="5"/>
  <c r="G82" i="5"/>
  <c r="B82" i="5"/>
  <c r="A82" i="5"/>
  <c r="I81" i="5"/>
  <c r="G81" i="5"/>
  <c r="F81" i="5"/>
  <c r="E81" i="5"/>
  <c r="D81" i="5"/>
  <c r="C81" i="5"/>
  <c r="B81" i="5"/>
  <c r="H81" i="5" s="1"/>
  <c r="A81" i="5"/>
  <c r="H80" i="5"/>
  <c r="G80" i="5"/>
  <c r="F80" i="5"/>
  <c r="D80" i="5"/>
  <c r="B80" i="5"/>
  <c r="E80" i="5" s="1"/>
  <c r="A80" i="5"/>
  <c r="I79" i="5"/>
  <c r="G79" i="5"/>
  <c r="F79" i="5"/>
  <c r="E79" i="5"/>
  <c r="D79" i="5"/>
  <c r="C79" i="5"/>
  <c r="B79" i="5"/>
  <c r="H79" i="5" s="1"/>
  <c r="A79" i="5"/>
  <c r="B78" i="5"/>
  <c r="A78" i="5"/>
  <c r="I77" i="5"/>
  <c r="G77" i="5"/>
  <c r="F77" i="5"/>
  <c r="E77" i="5"/>
  <c r="D77" i="5"/>
  <c r="C77" i="5"/>
  <c r="B77" i="5"/>
  <c r="H77" i="5" s="1"/>
  <c r="A77" i="5"/>
  <c r="B76" i="5"/>
  <c r="A76" i="5"/>
  <c r="I75" i="5"/>
  <c r="G75" i="5"/>
  <c r="F75" i="5"/>
  <c r="E75" i="5"/>
  <c r="D75" i="5"/>
  <c r="C75" i="5"/>
  <c r="B75" i="5"/>
  <c r="H75" i="5" s="1"/>
  <c r="A75" i="5"/>
  <c r="H74" i="5"/>
  <c r="G74" i="5"/>
  <c r="F74" i="5"/>
  <c r="D74" i="5"/>
  <c r="B74" i="5"/>
  <c r="E74" i="5" s="1"/>
  <c r="A74" i="5"/>
  <c r="I73" i="5"/>
  <c r="G73" i="5"/>
  <c r="F73" i="5"/>
  <c r="E73" i="5"/>
  <c r="D73" i="5"/>
  <c r="C73" i="5"/>
  <c r="B73" i="5"/>
  <c r="H73" i="5" s="1"/>
  <c r="A73" i="5"/>
  <c r="I72" i="5"/>
  <c r="D72" i="5"/>
  <c r="B72" i="5"/>
  <c r="A72" i="5"/>
  <c r="I71" i="5"/>
  <c r="G71" i="5"/>
  <c r="F71" i="5"/>
  <c r="E71" i="5"/>
  <c r="D71" i="5"/>
  <c r="C71" i="5"/>
  <c r="B71" i="5"/>
  <c r="H71" i="5" s="1"/>
  <c r="A71" i="5"/>
  <c r="I70" i="5"/>
  <c r="B70" i="5"/>
  <c r="A70" i="5"/>
  <c r="I69" i="5"/>
  <c r="G69" i="5"/>
  <c r="F69" i="5"/>
  <c r="E69" i="5"/>
  <c r="D69" i="5"/>
  <c r="C69" i="5"/>
  <c r="B69" i="5"/>
  <c r="H69" i="5" s="1"/>
  <c r="A69" i="5"/>
  <c r="H68" i="5"/>
  <c r="G68" i="5"/>
  <c r="F68" i="5"/>
  <c r="D68" i="5"/>
  <c r="B68" i="5"/>
  <c r="E68" i="5" s="1"/>
  <c r="A68" i="5"/>
  <c r="I67" i="5"/>
  <c r="G67" i="5"/>
  <c r="F67" i="5"/>
  <c r="E67" i="5"/>
  <c r="D67" i="5"/>
  <c r="C67" i="5"/>
  <c r="B67" i="5"/>
  <c r="H67" i="5" s="1"/>
  <c r="A67" i="5"/>
  <c r="B66" i="5"/>
  <c r="A66" i="5"/>
  <c r="I65" i="5"/>
  <c r="G65" i="5"/>
  <c r="F65" i="5"/>
  <c r="E65" i="5"/>
  <c r="D65" i="5"/>
  <c r="C65" i="5"/>
  <c r="B65" i="5"/>
  <c r="H65" i="5" s="1"/>
  <c r="A65" i="5"/>
  <c r="I64" i="5"/>
  <c r="H64" i="5"/>
  <c r="G64" i="5"/>
  <c r="B64" i="5"/>
  <c r="A64" i="5"/>
  <c r="I63" i="5"/>
  <c r="G63" i="5"/>
  <c r="F63" i="5"/>
  <c r="E63" i="5"/>
  <c r="D63" i="5"/>
  <c r="C63" i="5"/>
  <c r="B63" i="5"/>
  <c r="H63" i="5" s="1"/>
  <c r="A63" i="5"/>
  <c r="H62" i="5"/>
  <c r="G62" i="5"/>
  <c r="F62" i="5"/>
  <c r="D62" i="5"/>
  <c r="B62" i="5"/>
  <c r="E62" i="5" s="1"/>
  <c r="A62" i="5"/>
  <c r="I61" i="5"/>
  <c r="G61" i="5"/>
  <c r="F61" i="5"/>
  <c r="E61" i="5"/>
  <c r="D61" i="5"/>
  <c r="C61" i="5"/>
  <c r="B61" i="5"/>
  <c r="H61" i="5" s="1"/>
  <c r="A61" i="5"/>
  <c r="B60" i="5"/>
  <c r="A60" i="5"/>
  <c r="I59" i="5"/>
  <c r="G59" i="5"/>
  <c r="F59" i="5"/>
  <c r="E59" i="5"/>
  <c r="D59" i="5"/>
  <c r="C59" i="5"/>
  <c r="B59" i="5"/>
  <c r="H59" i="5" s="1"/>
  <c r="A59" i="5"/>
  <c r="B58" i="5"/>
  <c r="A58" i="5"/>
  <c r="I57" i="5"/>
  <c r="G57" i="5"/>
  <c r="F57" i="5"/>
  <c r="E57" i="5"/>
  <c r="D57" i="5"/>
  <c r="C57" i="5"/>
  <c r="B57" i="5"/>
  <c r="H57" i="5" s="1"/>
  <c r="A57" i="5"/>
  <c r="H56" i="5"/>
  <c r="G56" i="5"/>
  <c r="F56" i="5"/>
  <c r="D56" i="5"/>
  <c r="B56" i="5"/>
  <c r="E56" i="5" s="1"/>
  <c r="A56" i="5"/>
  <c r="I55" i="5"/>
  <c r="G55" i="5"/>
  <c r="F55" i="5"/>
  <c r="E55" i="5"/>
  <c r="D55" i="5"/>
  <c r="C55" i="5"/>
  <c r="B55" i="5"/>
  <c r="H55" i="5" s="1"/>
  <c r="A55" i="5"/>
  <c r="I54" i="5"/>
  <c r="D54" i="5"/>
  <c r="B54" i="5"/>
  <c r="A54" i="5"/>
  <c r="I53" i="5"/>
  <c r="G53" i="5"/>
  <c r="F53" i="5"/>
  <c r="E53" i="5"/>
  <c r="D53" i="5"/>
  <c r="C53" i="5"/>
  <c r="B53" i="5"/>
  <c r="H53" i="5" s="1"/>
  <c r="A53" i="5"/>
  <c r="I52" i="5"/>
  <c r="B52" i="5"/>
  <c r="A52" i="5"/>
  <c r="I51" i="5"/>
  <c r="G51" i="5"/>
  <c r="F51" i="5"/>
  <c r="E51" i="5"/>
  <c r="D51" i="5"/>
  <c r="C51" i="5"/>
  <c r="B51" i="5"/>
  <c r="H51" i="5" s="1"/>
  <c r="A51" i="5"/>
  <c r="H50" i="5"/>
  <c r="G50" i="5"/>
  <c r="F50" i="5"/>
  <c r="D50" i="5"/>
  <c r="B50" i="5"/>
  <c r="E50" i="5" s="1"/>
  <c r="A50" i="5"/>
  <c r="I49" i="5"/>
  <c r="G49" i="5"/>
  <c r="F49" i="5"/>
  <c r="E49" i="5"/>
  <c r="D49" i="5"/>
  <c r="C49" i="5"/>
  <c r="B49" i="5"/>
  <c r="H49" i="5" s="1"/>
  <c r="A49" i="5"/>
  <c r="B48" i="5"/>
  <c r="A48" i="5"/>
  <c r="I47" i="5"/>
  <c r="G47" i="5"/>
  <c r="F47" i="5"/>
  <c r="E47" i="5"/>
  <c r="D47" i="5"/>
  <c r="C47" i="5"/>
  <c r="B47" i="5"/>
  <c r="H47" i="5" s="1"/>
  <c r="A47" i="5"/>
  <c r="I46" i="5"/>
  <c r="H46" i="5"/>
  <c r="G46" i="5"/>
  <c r="B46" i="5"/>
  <c r="A46" i="5"/>
  <c r="I45" i="5"/>
  <c r="G45" i="5"/>
  <c r="F45" i="5"/>
  <c r="E45" i="5"/>
  <c r="D45" i="5"/>
  <c r="C45" i="5"/>
  <c r="B45" i="5"/>
  <c r="H45" i="5" s="1"/>
  <c r="A45" i="5"/>
  <c r="H44" i="5"/>
  <c r="G44" i="5"/>
  <c r="F44" i="5"/>
  <c r="D44" i="5"/>
  <c r="B44" i="5"/>
  <c r="E44" i="5" s="1"/>
  <c r="A44" i="5"/>
  <c r="I43" i="5"/>
  <c r="G43" i="5"/>
  <c r="F43" i="5"/>
  <c r="E43" i="5"/>
  <c r="D43" i="5"/>
  <c r="C43" i="5"/>
  <c r="B43" i="5"/>
  <c r="H43" i="5" s="1"/>
  <c r="A43" i="5"/>
  <c r="B42" i="5"/>
  <c r="A42" i="5"/>
  <c r="I41" i="5"/>
  <c r="G41" i="5"/>
  <c r="F41" i="5"/>
  <c r="E41" i="5"/>
  <c r="D41" i="5"/>
  <c r="C41" i="5"/>
  <c r="B41" i="5"/>
  <c r="H41" i="5" s="1"/>
  <c r="A41" i="5"/>
  <c r="B40" i="5"/>
  <c r="G40" i="5" s="1"/>
  <c r="A40" i="5"/>
  <c r="I39" i="5"/>
  <c r="G39" i="5"/>
  <c r="F39" i="5"/>
  <c r="E39" i="5"/>
  <c r="D39" i="5"/>
  <c r="C39" i="5"/>
  <c r="B39" i="5"/>
  <c r="H39" i="5" s="1"/>
  <c r="A39" i="5"/>
  <c r="H38" i="5"/>
  <c r="G38" i="5"/>
  <c r="F38" i="5"/>
  <c r="D38" i="5"/>
  <c r="B38" i="5"/>
  <c r="E38" i="5" s="1"/>
  <c r="A38" i="5"/>
  <c r="I37" i="5"/>
  <c r="G37" i="5"/>
  <c r="F37" i="5"/>
  <c r="E37" i="5"/>
  <c r="D37" i="5"/>
  <c r="C37" i="5"/>
  <c r="B37" i="5"/>
  <c r="H37" i="5" s="1"/>
  <c r="A37" i="5"/>
  <c r="D36" i="5"/>
  <c r="B36" i="5"/>
  <c r="A36" i="5"/>
  <c r="G35" i="5"/>
  <c r="F35" i="5"/>
  <c r="E35" i="5"/>
  <c r="D35" i="5"/>
  <c r="C35" i="5"/>
  <c r="B35" i="5"/>
  <c r="H35" i="5" s="1"/>
  <c r="A35" i="5"/>
  <c r="H34" i="5"/>
  <c r="B34" i="5"/>
  <c r="A34" i="5"/>
  <c r="G33" i="5"/>
  <c r="F33" i="5"/>
  <c r="E33" i="5"/>
  <c r="D33" i="5"/>
  <c r="C33" i="5"/>
  <c r="B33" i="5"/>
  <c r="H33" i="5" s="1"/>
  <c r="A33" i="5"/>
  <c r="H32" i="5"/>
  <c r="G32" i="5"/>
  <c r="F32" i="5"/>
  <c r="D32" i="5"/>
  <c r="C32" i="5"/>
  <c r="B32" i="5"/>
  <c r="E32" i="5" s="1"/>
  <c r="A32" i="5"/>
  <c r="G31" i="5"/>
  <c r="F31" i="5"/>
  <c r="E31" i="5"/>
  <c r="D31" i="5"/>
  <c r="C31" i="5"/>
  <c r="B31" i="5"/>
  <c r="H31" i="5" s="1"/>
  <c r="A31" i="5"/>
  <c r="B30" i="5"/>
  <c r="A30" i="5"/>
  <c r="G29" i="5"/>
  <c r="F29" i="5"/>
  <c r="E29" i="5"/>
  <c r="D29" i="5"/>
  <c r="C29" i="5"/>
  <c r="B29" i="5"/>
  <c r="H29" i="5" s="1"/>
  <c r="A29" i="5"/>
  <c r="B28" i="5"/>
  <c r="A28" i="5"/>
  <c r="G27" i="5"/>
  <c r="F27" i="5"/>
  <c r="E27" i="5"/>
  <c r="D27" i="5"/>
  <c r="C27" i="5"/>
  <c r="B27" i="5"/>
  <c r="H27" i="5" s="1"/>
  <c r="A27" i="5"/>
  <c r="H26" i="5"/>
  <c r="G26" i="5"/>
  <c r="F26" i="5"/>
  <c r="D26" i="5"/>
  <c r="C26" i="5"/>
  <c r="B26" i="5"/>
  <c r="E26" i="5" s="1"/>
  <c r="A26" i="5"/>
  <c r="G25" i="5"/>
  <c r="F25" i="5"/>
  <c r="E25" i="5"/>
  <c r="D25" i="5"/>
  <c r="C25" i="5"/>
  <c r="B25" i="5"/>
  <c r="H25" i="5" s="1"/>
  <c r="A25" i="5"/>
  <c r="B24" i="5"/>
  <c r="C24" i="5" s="1"/>
  <c r="A24" i="5"/>
  <c r="G23" i="5"/>
  <c r="F23" i="5"/>
  <c r="E23" i="5"/>
  <c r="D23" i="5"/>
  <c r="C23" i="5"/>
  <c r="B23" i="5"/>
  <c r="H23" i="5" s="1"/>
  <c r="A23" i="5"/>
  <c r="B22" i="5"/>
  <c r="A22" i="5"/>
  <c r="G21" i="5"/>
  <c r="F21" i="5"/>
  <c r="E21" i="5"/>
  <c r="D21" i="5"/>
  <c r="C21" i="5"/>
  <c r="B21" i="5"/>
  <c r="H21" i="5" s="1"/>
  <c r="A21" i="5"/>
  <c r="B16" i="5"/>
  <c r="B15" i="5"/>
  <c r="B13" i="5"/>
  <c r="B12" i="5"/>
  <c r="B11" i="5"/>
  <c r="B10" i="5"/>
  <c r="B9" i="5"/>
  <c r="B8" i="5"/>
  <c r="B7" i="5"/>
  <c r="B6" i="5"/>
  <c r="E28" i="5" l="1"/>
  <c r="D28" i="5"/>
  <c r="C28" i="5"/>
  <c r="F28" i="5"/>
  <c r="E30" i="5"/>
  <c r="G30" i="5"/>
  <c r="F30" i="5"/>
  <c r="H30" i="5"/>
  <c r="E48" i="5"/>
  <c r="G48" i="5"/>
  <c r="F48" i="5"/>
  <c r="H48" i="5"/>
  <c r="E66" i="5"/>
  <c r="G66" i="5"/>
  <c r="F66" i="5"/>
  <c r="H66" i="5"/>
  <c r="E84" i="5"/>
  <c r="G84" i="5"/>
  <c r="F84" i="5"/>
  <c r="H84" i="5"/>
  <c r="E101" i="5"/>
  <c r="D101" i="5"/>
  <c r="H101" i="5"/>
  <c r="G101" i="5"/>
  <c r="I101" i="5"/>
  <c r="E137" i="5"/>
  <c r="D137" i="5"/>
  <c r="H137" i="5"/>
  <c r="G137" i="5"/>
  <c r="I137" i="5"/>
  <c r="E173" i="5"/>
  <c r="D173" i="5"/>
  <c r="H173" i="5"/>
  <c r="G173" i="5"/>
  <c r="I173" i="5"/>
  <c r="E209" i="5"/>
  <c r="D209" i="5"/>
  <c r="H209" i="5"/>
  <c r="G209" i="5"/>
  <c r="I209" i="5"/>
  <c r="E235" i="5"/>
  <c r="G235" i="5"/>
  <c r="I235" i="5"/>
  <c r="H235" i="5"/>
  <c r="F235" i="5"/>
  <c r="F251" i="5"/>
  <c r="E251" i="5"/>
  <c r="D251" i="5"/>
  <c r="G251" i="5"/>
  <c r="C251" i="5"/>
  <c r="H251" i="5"/>
  <c r="E22" i="5"/>
  <c r="D22" i="5"/>
  <c r="C22" i="5"/>
  <c r="F22" i="5"/>
  <c r="E42" i="5"/>
  <c r="G42" i="5"/>
  <c r="F42" i="5"/>
  <c r="H42" i="5"/>
  <c r="D66" i="5"/>
  <c r="D84" i="5"/>
  <c r="E113" i="5"/>
  <c r="D113" i="5"/>
  <c r="H113" i="5"/>
  <c r="G113" i="5"/>
  <c r="I113" i="5"/>
  <c r="E149" i="5"/>
  <c r="D149" i="5"/>
  <c r="H149" i="5"/>
  <c r="G149" i="5"/>
  <c r="I149" i="5"/>
  <c r="E185" i="5"/>
  <c r="D185" i="5"/>
  <c r="H185" i="5"/>
  <c r="G185" i="5"/>
  <c r="I185" i="5"/>
  <c r="D235" i="5"/>
  <c r="F299" i="5"/>
  <c r="D299" i="5"/>
  <c r="I299" i="5"/>
  <c r="H299" i="5"/>
  <c r="E299" i="5"/>
  <c r="C299" i="5"/>
  <c r="I302" i="5"/>
  <c r="C302" i="5"/>
  <c r="F302" i="5"/>
  <c r="E302" i="5"/>
  <c r="H302" i="5"/>
  <c r="G302" i="5"/>
  <c r="D302" i="5"/>
  <c r="G22" i="5"/>
  <c r="G28" i="5"/>
  <c r="C30" i="5"/>
  <c r="E40" i="5"/>
  <c r="D40" i="5"/>
  <c r="C40" i="5"/>
  <c r="F40" i="5"/>
  <c r="C48" i="5"/>
  <c r="E58" i="5"/>
  <c r="D58" i="5"/>
  <c r="C58" i="5"/>
  <c r="F58" i="5"/>
  <c r="C66" i="5"/>
  <c r="E76" i="5"/>
  <c r="D76" i="5"/>
  <c r="C76" i="5"/>
  <c r="F76" i="5"/>
  <c r="C84" i="5"/>
  <c r="C101" i="5"/>
  <c r="E121" i="5"/>
  <c r="G121" i="5"/>
  <c r="H121" i="5"/>
  <c r="F121" i="5"/>
  <c r="I121" i="5"/>
  <c r="C137" i="5"/>
  <c r="E157" i="5"/>
  <c r="G157" i="5"/>
  <c r="H157" i="5"/>
  <c r="F157" i="5"/>
  <c r="I157" i="5"/>
  <c r="C173" i="5"/>
  <c r="E193" i="5"/>
  <c r="G193" i="5"/>
  <c r="H193" i="5"/>
  <c r="F193" i="5"/>
  <c r="I193" i="5"/>
  <c r="C209" i="5"/>
  <c r="E215" i="5"/>
  <c r="D215" i="5"/>
  <c r="I215" i="5"/>
  <c r="G215" i="5"/>
  <c r="F215" i="5"/>
  <c r="H215" i="5"/>
  <c r="C235" i="5"/>
  <c r="I251" i="5"/>
  <c r="F259" i="5"/>
  <c r="E259" i="5"/>
  <c r="H259" i="5"/>
  <c r="I259" i="5"/>
  <c r="G259" i="5"/>
  <c r="D259" i="5"/>
  <c r="C259" i="5"/>
  <c r="I262" i="5"/>
  <c r="C262" i="5"/>
  <c r="G262" i="5"/>
  <c r="E262" i="5"/>
  <c r="H262" i="5"/>
  <c r="F262" i="5"/>
  <c r="F311" i="5"/>
  <c r="D311" i="5"/>
  <c r="E311" i="5"/>
  <c r="G311" i="5"/>
  <c r="H311" i="5"/>
  <c r="C311" i="5"/>
  <c r="E24" i="5"/>
  <c r="G24" i="5"/>
  <c r="F24" i="5"/>
  <c r="H24" i="5"/>
  <c r="H28" i="5"/>
  <c r="D30" i="5"/>
  <c r="D48" i="5"/>
  <c r="G58" i="5"/>
  <c r="E60" i="5"/>
  <c r="G60" i="5"/>
  <c r="F60" i="5"/>
  <c r="H60" i="5"/>
  <c r="G76" i="5"/>
  <c r="E78" i="5"/>
  <c r="G78" i="5"/>
  <c r="F78" i="5"/>
  <c r="H78" i="5"/>
  <c r="F101" i="5"/>
  <c r="F137" i="5"/>
  <c r="F173" i="5"/>
  <c r="F209" i="5"/>
  <c r="H40" i="5"/>
  <c r="C42" i="5"/>
  <c r="I48" i="5"/>
  <c r="E52" i="5"/>
  <c r="D52" i="5"/>
  <c r="C52" i="5"/>
  <c r="F52" i="5"/>
  <c r="H58" i="5"/>
  <c r="C60" i="5"/>
  <c r="I66" i="5"/>
  <c r="E70" i="5"/>
  <c r="D70" i="5"/>
  <c r="C70" i="5"/>
  <c r="F70" i="5"/>
  <c r="H76" i="5"/>
  <c r="C78" i="5"/>
  <c r="I84" i="5"/>
  <c r="E88" i="5"/>
  <c r="D88" i="5"/>
  <c r="C88" i="5"/>
  <c r="F88" i="5"/>
  <c r="E97" i="5"/>
  <c r="G97" i="5"/>
  <c r="H97" i="5"/>
  <c r="F97" i="5"/>
  <c r="I97" i="5"/>
  <c r="C113" i="5"/>
  <c r="D121" i="5"/>
  <c r="E133" i="5"/>
  <c r="G133" i="5"/>
  <c r="H133" i="5"/>
  <c r="F133" i="5"/>
  <c r="I133" i="5"/>
  <c r="C149" i="5"/>
  <c r="D157" i="5"/>
  <c r="E169" i="5"/>
  <c r="G169" i="5"/>
  <c r="H169" i="5"/>
  <c r="F169" i="5"/>
  <c r="I169" i="5"/>
  <c r="C185" i="5"/>
  <c r="D193" i="5"/>
  <c r="E205" i="5"/>
  <c r="G205" i="5"/>
  <c r="H205" i="5"/>
  <c r="F205" i="5"/>
  <c r="I205" i="5"/>
  <c r="E221" i="5"/>
  <c r="D221" i="5"/>
  <c r="F221" i="5"/>
  <c r="G221" i="5"/>
  <c r="C221" i="5"/>
  <c r="H221" i="5"/>
  <c r="I246" i="5"/>
  <c r="C246" i="5"/>
  <c r="G246" i="5"/>
  <c r="H246" i="5"/>
  <c r="F246" i="5"/>
  <c r="I260" i="5"/>
  <c r="C260" i="5"/>
  <c r="D260" i="5"/>
  <c r="G260" i="5"/>
  <c r="H260" i="5"/>
  <c r="F260" i="5"/>
  <c r="I274" i="5"/>
  <c r="C274" i="5"/>
  <c r="F274" i="5"/>
  <c r="H274" i="5"/>
  <c r="G274" i="5"/>
  <c r="E274" i="5"/>
  <c r="G299" i="5"/>
  <c r="H22" i="5"/>
  <c r="D24" i="5"/>
  <c r="E34" i="5"/>
  <c r="D34" i="5"/>
  <c r="C34" i="5"/>
  <c r="F34" i="5"/>
  <c r="E36" i="5"/>
  <c r="G36" i="5"/>
  <c r="F36" i="5"/>
  <c r="H36" i="5"/>
  <c r="I40" i="5"/>
  <c r="D42" i="5"/>
  <c r="G52" i="5"/>
  <c r="E54" i="5"/>
  <c r="G54" i="5"/>
  <c r="F54" i="5"/>
  <c r="H54" i="5"/>
  <c r="I58" i="5"/>
  <c r="D60" i="5"/>
  <c r="G70" i="5"/>
  <c r="E72" i="5"/>
  <c r="G72" i="5"/>
  <c r="F72" i="5"/>
  <c r="H72" i="5"/>
  <c r="I76" i="5"/>
  <c r="D78" i="5"/>
  <c r="G88" i="5"/>
  <c r="E90" i="5"/>
  <c r="G90" i="5"/>
  <c r="F90" i="5"/>
  <c r="H90" i="5"/>
  <c r="C97" i="5"/>
  <c r="F113" i="5"/>
  <c r="E125" i="5"/>
  <c r="D125" i="5"/>
  <c r="H125" i="5"/>
  <c r="G125" i="5"/>
  <c r="I125" i="5"/>
  <c r="C133" i="5"/>
  <c r="F149" i="5"/>
  <c r="E161" i="5"/>
  <c r="D161" i="5"/>
  <c r="H161" i="5"/>
  <c r="G161" i="5"/>
  <c r="I161" i="5"/>
  <c r="C169" i="5"/>
  <c r="F185" i="5"/>
  <c r="E197" i="5"/>
  <c r="D197" i="5"/>
  <c r="H197" i="5"/>
  <c r="G197" i="5"/>
  <c r="I197" i="5"/>
  <c r="C205" i="5"/>
  <c r="I221" i="5"/>
  <c r="I244" i="5"/>
  <c r="C244" i="5"/>
  <c r="D244" i="5"/>
  <c r="H244" i="5"/>
  <c r="G244" i="5"/>
  <c r="D246" i="5"/>
  <c r="E260" i="5"/>
  <c r="D274" i="5"/>
  <c r="G34" i="5"/>
  <c r="C36" i="5"/>
  <c r="I42" i="5"/>
  <c r="E46" i="5"/>
  <c r="D46" i="5"/>
  <c r="C46" i="5"/>
  <c r="F46" i="5"/>
  <c r="H52" i="5"/>
  <c r="C54" i="5"/>
  <c r="I60" i="5"/>
  <c r="E64" i="5"/>
  <c r="D64" i="5"/>
  <c r="C64" i="5"/>
  <c r="F64" i="5"/>
  <c r="H70" i="5"/>
  <c r="C72" i="5"/>
  <c r="I78" i="5"/>
  <c r="E82" i="5"/>
  <c r="D82" i="5"/>
  <c r="C82" i="5"/>
  <c r="F82" i="5"/>
  <c r="H88" i="5"/>
  <c r="C90" i="5"/>
  <c r="D97" i="5"/>
  <c r="E109" i="5"/>
  <c r="G109" i="5"/>
  <c r="H109" i="5"/>
  <c r="F109" i="5"/>
  <c r="I109" i="5"/>
  <c r="C125" i="5"/>
  <c r="D133" i="5"/>
  <c r="E145" i="5"/>
  <c r="G145" i="5"/>
  <c r="H145" i="5"/>
  <c r="F145" i="5"/>
  <c r="I145" i="5"/>
  <c r="C161" i="5"/>
  <c r="D169" i="5"/>
  <c r="E181" i="5"/>
  <c r="G181" i="5"/>
  <c r="H181" i="5"/>
  <c r="F181" i="5"/>
  <c r="I181" i="5"/>
  <c r="C197" i="5"/>
  <c r="D205" i="5"/>
  <c r="E211" i="5"/>
  <c r="G211" i="5"/>
  <c r="I211" i="5"/>
  <c r="D211" i="5"/>
  <c r="C211" i="5"/>
  <c r="F211" i="5"/>
  <c r="E244" i="5"/>
  <c r="E246" i="5"/>
  <c r="F269" i="5"/>
  <c r="H269" i="5"/>
  <c r="E269" i="5"/>
  <c r="I269" i="5"/>
  <c r="G269" i="5"/>
  <c r="D269" i="5"/>
  <c r="C38" i="5"/>
  <c r="C44" i="5"/>
  <c r="C50" i="5"/>
  <c r="C56" i="5"/>
  <c r="C62" i="5"/>
  <c r="C68" i="5"/>
  <c r="C74" i="5"/>
  <c r="C80" i="5"/>
  <c r="C86" i="5"/>
  <c r="C92" i="5"/>
  <c r="E229" i="5"/>
  <c r="G229" i="5"/>
  <c r="D229" i="5"/>
  <c r="F239" i="5"/>
  <c r="E239" i="5"/>
  <c r="D239" i="5"/>
  <c r="I240" i="5"/>
  <c r="C240" i="5"/>
  <c r="D240" i="5"/>
  <c r="E240" i="5"/>
  <c r="F263" i="5"/>
  <c r="E263" i="5"/>
  <c r="D263" i="5"/>
  <c r="I264" i="5"/>
  <c r="C264" i="5"/>
  <c r="D264" i="5"/>
  <c r="E264" i="5"/>
  <c r="I270" i="5"/>
  <c r="C270" i="5"/>
  <c r="F270" i="5"/>
  <c r="E270" i="5"/>
  <c r="F293" i="5"/>
  <c r="H293" i="5"/>
  <c r="E293" i="5"/>
  <c r="D293" i="5"/>
  <c r="C293" i="5"/>
  <c r="I306" i="5"/>
  <c r="C306" i="5"/>
  <c r="F306" i="5"/>
  <c r="E306" i="5"/>
  <c r="H306" i="5"/>
  <c r="I252" i="5"/>
  <c r="C252" i="5"/>
  <c r="D252" i="5"/>
  <c r="E252" i="5"/>
  <c r="I278" i="5"/>
  <c r="C278" i="5"/>
  <c r="F278" i="5"/>
  <c r="E278" i="5"/>
  <c r="H278" i="5"/>
  <c r="I286" i="5"/>
  <c r="C286" i="5"/>
  <c r="F286" i="5"/>
  <c r="E286" i="5"/>
  <c r="D286" i="5"/>
  <c r="H286" i="5"/>
  <c r="G286" i="5"/>
  <c r="E95" i="5"/>
  <c r="D95" i="5"/>
  <c r="E103" i="5"/>
  <c r="G103" i="5"/>
  <c r="E107" i="5"/>
  <c r="D107" i="5"/>
  <c r="E115" i="5"/>
  <c r="G115" i="5"/>
  <c r="E119" i="5"/>
  <c r="D119" i="5"/>
  <c r="E127" i="5"/>
  <c r="G127" i="5"/>
  <c r="E131" i="5"/>
  <c r="D131" i="5"/>
  <c r="E139" i="5"/>
  <c r="G139" i="5"/>
  <c r="E143" i="5"/>
  <c r="D143" i="5"/>
  <c r="E151" i="5"/>
  <c r="G151" i="5"/>
  <c r="E155" i="5"/>
  <c r="D155" i="5"/>
  <c r="E163" i="5"/>
  <c r="G163" i="5"/>
  <c r="E167" i="5"/>
  <c r="D167" i="5"/>
  <c r="E175" i="5"/>
  <c r="G175" i="5"/>
  <c r="E179" i="5"/>
  <c r="D179" i="5"/>
  <c r="E187" i="5"/>
  <c r="G187" i="5"/>
  <c r="E191" i="5"/>
  <c r="D191" i="5"/>
  <c r="E199" i="5"/>
  <c r="G199" i="5"/>
  <c r="E203" i="5"/>
  <c r="D203" i="5"/>
  <c r="E217" i="5"/>
  <c r="G217" i="5"/>
  <c r="D217" i="5"/>
  <c r="E227" i="5"/>
  <c r="D227" i="5"/>
  <c r="I227" i="5"/>
  <c r="I248" i="5"/>
  <c r="C248" i="5"/>
  <c r="D248" i="5"/>
  <c r="G248" i="5"/>
  <c r="I250" i="5"/>
  <c r="C250" i="5"/>
  <c r="G250" i="5"/>
  <c r="E250" i="5"/>
  <c r="F252" i="5"/>
  <c r="I256" i="5"/>
  <c r="C256" i="5"/>
  <c r="D256" i="5"/>
  <c r="H256" i="5"/>
  <c r="I258" i="5"/>
  <c r="C258" i="5"/>
  <c r="G258" i="5"/>
  <c r="H258" i="5"/>
  <c r="F258" i="5"/>
  <c r="D278" i="5"/>
  <c r="I294" i="5"/>
  <c r="C294" i="5"/>
  <c r="F294" i="5"/>
  <c r="E294" i="5"/>
  <c r="G294" i="5"/>
  <c r="D294" i="5"/>
  <c r="F307" i="5"/>
  <c r="D307" i="5"/>
  <c r="I307" i="5"/>
  <c r="E307" i="5"/>
  <c r="F309" i="5"/>
  <c r="H309" i="5"/>
  <c r="E309" i="5"/>
  <c r="C309" i="5"/>
  <c r="I38" i="5"/>
  <c r="I44" i="5"/>
  <c r="I50" i="5"/>
  <c r="I56" i="5"/>
  <c r="I62" i="5"/>
  <c r="I68" i="5"/>
  <c r="I74" i="5"/>
  <c r="I80" i="5"/>
  <c r="I86" i="5"/>
  <c r="I92" i="5"/>
  <c r="C95" i="5"/>
  <c r="C103" i="5"/>
  <c r="C107" i="5"/>
  <c r="C115" i="5"/>
  <c r="C119" i="5"/>
  <c r="C127" i="5"/>
  <c r="C131" i="5"/>
  <c r="C139" i="5"/>
  <c r="C143" i="5"/>
  <c r="C151" i="5"/>
  <c r="C155" i="5"/>
  <c r="C163" i="5"/>
  <c r="C167" i="5"/>
  <c r="C175" i="5"/>
  <c r="C179" i="5"/>
  <c r="C187" i="5"/>
  <c r="C191" i="5"/>
  <c r="C199" i="5"/>
  <c r="C203" i="5"/>
  <c r="C217" i="5"/>
  <c r="E223" i="5"/>
  <c r="G223" i="5"/>
  <c r="I223" i="5"/>
  <c r="C227" i="5"/>
  <c r="E233" i="5"/>
  <c r="D233" i="5"/>
  <c r="F233" i="5"/>
  <c r="F247" i="5"/>
  <c r="E247" i="5"/>
  <c r="H247" i="5"/>
  <c r="I247" i="5"/>
  <c r="E248" i="5"/>
  <c r="D250" i="5"/>
  <c r="G252" i="5"/>
  <c r="E256" i="5"/>
  <c r="D258" i="5"/>
  <c r="F275" i="5"/>
  <c r="D275" i="5"/>
  <c r="I275" i="5"/>
  <c r="H275" i="5"/>
  <c r="F277" i="5"/>
  <c r="H277" i="5"/>
  <c r="E277" i="5"/>
  <c r="G277" i="5"/>
  <c r="I277" i="5"/>
  <c r="G278" i="5"/>
  <c r="F287" i="5"/>
  <c r="D287" i="5"/>
  <c r="E287" i="5"/>
  <c r="G287" i="5"/>
  <c r="I287" i="5"/>
  <c r="H294" i="5"/>
  <c r="F301" i="5"/>
  <c r="H301" i="5"/>
  <c r="E301" i="5"/>
  <c r="G301" i="5"/>
  <c r="D301" i="5"/>
  <c r="C301" i="5"/>
  <c r="F303" i="5"/>
  <c r="D303" i="5"/>
  <c r="E303" i="5"/>
  <c r="I303" i="5"/>
  <c r="C307" i="5"/>
  <c r="D309" i="5"/>
  <c r="F279" i="5"/>
  <c r="D279" i="5"/>
  <c r="E279" i="5"/>
  <c r="I279" i="5"/>
  <c r="F283" i="5"/>
  <c r="D283" i="5"/>
  <c r="I283" i="5"/>
  <c r="E283" i="5"/>
  <c r="F285" i="5"/>
  <c r="H285" i="5"/>
  <c r="E285" i="5"/>
  <c r="C285" i="5"/>
  <c r="I298" i="5"/>
  <c r="C298" i="5"/>
  <c r="F298" i="5"/>
  <c r="H298" i="5"/>
  <c r="I93" i="5"/>
  <c r="I99" i="5"/>
  <c r="I105" i="5"/>
  <c r="I111" i="5"/>
  <c r="I117" i="5"/>
  <c r="I123" i="5"/>
  <c r="I129" i="5"/>
  <c r="I135" i="5"/>
  <c r="I141" i="5"/>
  <c r="I147" i="5"/>
  <c r="I153" i="5"/>
  <c r="I159" i="5"/>
  <c r="I165" i="5"/>
  <c r="I171" i="5"/>
  <c r="I177" i="5"/>
  <c r="I183" i="5"/>
  <c r="I189" i="5"/>
  <c r="I195" i="5"/>
  <c r="I201" i="5"/>
  <c r="I207" i="5"/>
  <c r="C279" i="5"/>
  <c r="I282" i="5"/>
  <c r="C282" i="5"/>
  <c r="F282" i="5"/>
  <c r="E282" i="5"/>
  <c r="C283" i="5"/>
  <c r="D285" i="5"/>
  <c r="D298" i="5"/>
  <c r="I310" i="5"/>
  <c r="C310" i="5"/>
  <c r="F310" i="5"/>
  <c r="E310" i="5"/>
  <c r="D310" i="5"/>
  <c r="F317" i="5"/>
  <c r="H317" i="5"/>
  <c r="E317" i="5"/>
  <c r="I318" i="5"/>
  <c r="C318" i="5"/>
  <c r="F318" i="5"/>
  <c r="E318" i="5"/>
  <c r="I210" i="5"/>
  <c r="I213" i="5"/>
  <c r="I219" i="5"/>
  <c r="I225" i="5"/>
  <c r="I231" i="5"/>
  <c r="I237" i="5"/>
  <c r="I242" i="5"/>
  <c r="C242" i="5"/>
  <c r="G242" i="5"/>
  <c r="F243" i="5"/>
  <c r="E243" i="5"/>
  <c r="I254" i="5"/>
  <c r="C254" i="5"/>
  <c r="G254" i="5"/>
  <c r="F255" i="5"/>
  <c r="E255" i="5"/>
  <c r="I266" i="5"/>
  <c r="C266" i="5"/>
  <c r="F266" i="5"/>
  <c r="F267" i="5"/>
  <c r="D267" i="5"/>
  <c r="I267" i="5"/>
  <c r="F271" i="5"/>
  <c r="D271" i="5"/>
  <c r="E271" i="5"/>
  <c r="I290" i="5"/>
  <c r="C290" i="5"/>
  <c r="F290" i="5"/>
  <c r="F291" i="5"/>
  <c r="D291" i="5"/>
  <c r="I291" i="5"/>
  <c r="F295" i="5"/>
  <c r="D295" i="5"/>
  <c r="E295" i="5"/>
  <c r="I314" i="5"/>
  <c r="C314" i="5"/>
  <c r="F314" i="5"/>
  <c r="F315" i="5"/>
  <c r="D315" i="5"/>
  <c r="I315" i="5"/>
  <c r="F319" i="5"/>
  <c r="D319" i="5"/>
  <c r="E319" i="5"/>
  <c r="I241" i="5"/>
  <c r="I245" i="5"/>
  <c r="I249" i="5"/>
  <c r="I253" i="5"/>
  <c r="I257" i="5"/>
  <c r="I261" i="5"/>
  <c r="F265" i="5"/>
  <c r="H265" i="5"/>
  <c r="F273" i="5"/>
  <c r="H273" i="5"/>
  <c r="F281" i="5"/>
  <c r="H281" i="5"/>
  <c r="F289" i="5"/>
  <c r="H289" i="5"/>
  <c r="F297" i="5"/>
  <c r="H297" i="5"/>
  <c r="F305" i="5"/>
  <c r="H305" i="5"/>
  <c r="F313" i="5"/>
  <c r="H313" i="5"/>
  <c r="I268" i="5"/>
  <c r="C268" i="5"/>
  <c r="I272" i="5"/>
  <c r="C272" i="5"/>
  <c r="I276" i="5"/>
  <c r="C276" i="5"/>
  <c r="I280" i="5"/>
  <c r="C280" i="5"/>
  <c r="I284" i="5"/>
  <c r="C284" i="5"/>
  <c r="I288" i="5"/>
  <c r="C288" i="5"/>
  <c r="I292" i="5"/>
  <c r="C292" i="5"/>
  <c r="I296" i="5"/>
  <c r="C296" i="5"/>
  <c r="I300" i="5"/>
  <c r="C300" i="5"/>
  <c r="I304" i="5"/>
  <c r="C304" i="5"/>
  <c r="I308" i="5"/>
  <c r="C308" i="5"/>
  <c r="I312" i="5"/>
  <c r="C312" i="5"/>
  <c r="I316" i="5"/>
  <c r="C316" i="5"/>
  <c r="I320" i="5"/>
  <c r="C320" i="5"/>
  <c r="I35" i="5"/>
  <c r="I23" i="5"/>
  <c r="I30" i="5"/>
  <c r="I28" i="5"/>
  <c r="I29" i="5"/>
  <c r="I25" i="5"/>
  <c r="I26" i="5"/>
  <c r="I27" i="5"/>
  <c r="B14" i="5"/>
  <c r="I21" i="5"/>
  <c r="I34" i="5"/>
  <c r="I36" i="5"/>
  <c r="I31" i="5"/>
  <c r="I33" i="5"/>
  <c r="I24" i="5"/>
  <c r="I22" i="5"/>
  <c r="I32" i="5"/>
</calcChain>
</file>

<file path=xl/sharedStrings.xml><?xml version="1.0" encoding="utf-8"?>
<sst xmlns="http://schemas.openxmlformats.org/spreadsheetml/2006/main" count="459" uniqueCount="195">
  <si>
    <t>家电产品项目 · 飞书导入模板</t>
  </si>
  <si>
    <t>本模板用于一次性把任务结构导入飞书多维表格：首次导入后，日常维护、甘特视图和到期提醒都在飞书中完成；本文件仅作为建表、备份和离线存档使用。</t>
  </si>
  <si>
    <t>使用步骤</t>
  </si>
  <si>
    <t>1. 打开「任务」页，把示例行替换为真实项目的 WBS（保留表头与列顺序，可增删行）。</t>
  </si>
  <si>
    <t>2. 在「项目配置」页填写项目名称、项目起止日期、预警提前天数。</t>
  </si>
  <si>
    <t>3. 用「选项字典」页核对单选字段的选项；任务页的单选值必须与字典完全一致。</t>
  </si>
  <si>
    <t>4. 在飞书新建多维表格 → 导入本文件的「任务」页（详见《导入回流操作手册.md》）。</t>
  </si>
  <si>
    <t>5. 按《飞书多维表格配置说明.md》设置字段类型、甘特视图、分组视图和到期提醒。</t>
  </si>
  <si>
    <t>6. 日常维护在飞书进行；需要离线备份或回流本地看板时，从飞书导出 CSV。</t>
  </si>
  <si>
    <t>填写规范</t>
  </si>
  <si>
    <t>· 每个 Excel 行 = 一个叶子任务；「阶段 / 任务 / 子任务」三列表达层级，「子任务」留空表示该任务本身就是叶子。</t>
  </si>
  <si>
    <t>· 日期为真实日期（yyyy-mm-dd），不是文本；「进度%」填 0～100 的数字。</t>
  </si>
  <si>
    <t>· 任务ID 全局唯一，如 T001；「前置任务」填依赖的任务ID，多个用英文逗号分隔（如 T001,T002）。</t>
  </si>
  <si>
    <t>· 单选列只能填「选项字典」中的值；负责人名单以实际团队为准。</t>
  </si>
  <si>
    <t>· 里程碑 = 是 的任务应给出明确日期，并尽量让进度为 0 或 100。</t>
  </si>
  <si>
    <t>导入兼容性注意</t>
  </si>
  <si>
    <t>· 任务页数据区保持单表头、无合并单元格、无公式，保证飞书导入不报错、不错位。</t>
  </si>
  <si>
    <t>· 不要删除或改名表头列；飞书导入按第一行表头识别字段。</t>
  </si>
  <si>
    <t>· 本模板不做双向同步：日常修改以飞书为准，模板仅用于导入与备份。</t>
  </si>
  <si>
    <t>如何增删改任务/子任务</t>
  </si>
  <si>
    <t>· 新增：在「任务」页表格最后一行正下方直接输入，Excel 会自动扩展表格；或在表格内右键 → 插入 → 表格行。</t>
  </si>
  <si>
    <t>· 删除：选中整行 → 删除表格行；删除前先看「数据自检」页，确认没有其他任务的「前置任务」引用它。</t>
  </si>
  <si>
    <t>· 修改：直接改单元格即可；调整层级就改「阶段 / 任务 / 子任务」三列，调整日期/进度/状态直接改对应列。</t>
  </si>
  <si>
    <t>· 新增负责人/部门等选项：先在「选项字典」页登记，再同步修改「任务」页对应列的下拉选项，最后同步飞书单选字段。</t>
  </si>
  <si>
    <t>导入前自检</t>
  </si>
  <si>
    <t>· 保存文件后，打开「数据自检」页，确认「问题合计」列没有标红行。</t>
  </si>
  <si>
    <t>· 再运行「运行自检.command」（或 python3 自检脚本.py），看到「自检通过」后再导入飞书。</t>
  </si>
  <si>
    <t>· 自检页检查范围：任务页第 2～301 行；超过 300 个任务时请拆分表格并扩展自检范围。</t>
  </si>
  <si>
    <t>项目配置</t>
  </si>
  <si>
    <t>项目名称</t>
  </si>
  <si>
    <t>家电产品设计与生产项目（示例）</t>
  </si>
  <si>
    <t>项目开始日期</t>
  </si>
  <si>
    <t>项目结束日期</t>
  </si>
  <si>
    <t>预警提前天数</t>
  </si>
  <si>
    <t>工作日</t>
  </si>
  <si>
    <t>周一至周五</t>
  </si>
  <si>
    <t>负责人来源</t>
  </si>
  <si>
    <t>飞书多维表格「负责人」单选字段</t>
  </si>
  <si>
    <t>说明：预警提前天数用于飞书自动化提醒（到期前 N 天通知负责人）；项目起止日期用于后续本地看板时间轴。</t>
  </si>
  <si>
    <t>任务ID</t>
  </si>
  <si>
    <t>阶段</t>
  </si>
  <si>
    <t>任务</t>
  </si>
  <si>
    <t>子任务</t>
  </si>
  <si>
    <t>负责人</t>
  </si>
  <si>
    <t>协作部门</t>
  </si>
  <si>
    <t>计划开始</t>
  </si>
  <si>
    <t>计划结束</t>
  </si>
  <si>
    <t>进度%</t>
  </si>
  <si>
    <t>前置任务</t>
  </si>
  <si>
    <t>里程碑</t>
  </si>
  <si>
    <t>优先级</t>
  </si>
  <si>
    <t>状态</t>
  </si>
  <si>
    <t>风险等级</t>
  </si>
  <si>
    <t>交付物</t>
  </si>
  <si>
    <t>备注</t>
  </si>
  <si>
    <t>T001</t>
  </si>
  <si>
    <t>概念与需求</t>
  </si>
  <si>
    <t>市场与用户调研</t>
  </si>
  <si>
    <t>竞品拆解</t>
  </si>
  <si>
    <t>王强</t>
  </si>
  <si>
    <t>市场</t>
  </si>
  <si>
    <t>否</t>
  </si>
  <si>
    <t>高</t>
  </si>
  <si>
    <t>未开始</t>
  </si>
  <si>
    <t>中</t>
  </si>
  <si>
    <t>调研报告</t>
  </si>
  <si>
    <t>含线下卖场走访</t>
  </si>
  <si>
    <t>T002</t>
  </si>
  <si>
    <t>需求定义</t>
  </si>
  <si>
    <t>需求规格书定稿</t>
  </si>
  <si>
    <t>李敏</t>
  </si>
  <si>
    <t>是</t>
  </si>
  <si>
    <t>低</t>
  </si>
  <si>
    <t>需求规格书</t>
  </si>
  <si>
    <t>T003</t>
  </si>
  <si>
    <t>产品设计</t>
  </si>
  <si>
    <t>工业设计</t>
  </si>
  <si>
    <t>外观造型定稿</t>
  </si>
  <si>
    <t>陈晨</t>
  </si>
  <si>
    <t>外观效果图/CMF</t>
  </si>
  <si>
    <t>T004</t>
  </si>
  <si>
    <t>结构设计</t>
  </si>
  <si>
    <t>3D 结构图纸</t>
  </si>
  <si>
    <t>张涛</t>
  </si>
  <si>
    <t>结构</t>
  </si>
  <si>
    <t>3D/2D 图纸</t>
  </si>
  <si>
    <t>T005</t>
  </si>
  <si>
    <t>电控设计</t>
  </si>
  <si>
    <t>原理图与 PCB</t>
  </si>
  <si>
    <t>刘洋</t>
  </si>
  <si>
    <t>电控</t>
  </si>
  <si>
    <t>原理图/PCB</t>
  </si>
  <si>
    <t>T006</t>
  </si>
  <si>
    <t>工程设计</t>
  </si>
  <si>
    <t>软件设计</t>
  </si>
  <si>
    <t>嵌入式软件框架</t>
  </si>
  <si>
    <t>赵磊</t>
  </si>
  <si>
    <t>软件</t>
  </si>
  <si>
    <t>软件架构文档</t>
  </si>
  <si>
    <t>T007</t>
  </si>
  <si>
    <t>工艺设计</t>
  </si>
  <si>
    <t>装配工艺文件</t>
  </si>
  <si>
    <t>周芳</t>
  </si>
  <si>
    <t>供应链</t>
  </si>
  <si>
    <t>工艺文件</t>
  </si>
  <si>
    <t>T008</t>
  </si>
  <si>
    <t>设计评审</t>
  </si>
  <si>
    <t>品质</t>
  </si>
  <si>
    <t>T003,T004,T005,T006</t>
  </si>
  <si>
    <t>评审纪要</t>
  </si>
  <si>
    <t>里程碑；子任务留空表示任务即叶子</t>
  </si>
  <si>
    <t>T009</t>
  </si>
  <si>
    <t>样机与测试</t>
  </si>
  <si>
    <t>样机制作</t>
  </si>
  <si>
    <t>手板样机装配</t>
  </si>
  <si>
    <t>手板样机</t>
  </si>
  <si>
    <t>T010</t>
  </si>
  <si>
    <t>功能测试</t>
  </si>
  <si>
    <t>电控功能测试</t>
  </si>
  <si>
    <t>测试报告</t>
  </si>
  <si>
    <t>T011</t>
  </si>
  <si>
    <t>安规预测试</t>
  </si>
  <si>
    <t>预测试问题整改</t>
  </si>
  <si>
    <t>预测试记录</t>
  </si>
  <si>
    <t>T012</t>
  </si>
  <si>
    <t>开模与试产</t>
  </si>
  <si>
    <t>模具开发</t>
  </si>
  <si>
    <t>模具 T0 试模</t>
  </si>
  <si>
    <t>T0 样件</t>
  </si>
  <si>
    <t>T013</t>
  </si>
  <si>
    <t>试产准备</t>
  </si>
  <si>
    <t>产线工装与物料</t>
  </si>
  <si>
    <t>孙立</t>
  </si>
  <si>
    <t>试产物料清单</t>
  </si>
  <si>
    <t>T014</t>
  </si>
  <si>
    <t>小批量试产</t>
  </si>
  <si>
    <t>试产问题关闭</t>
  </si>
  <si>
    <t>T012,T013</t>
  </si>
  <si>
    <t>试产总结</t>
  </si>
  <si>
    <t>T015</t>
  </si>
  <si>
    <t>认证与量产</t>
  </si>
  <si>
    <t>认证送检</t>
  </si>
  <si>
    <t>3C 认证</t>
  </si>
  <si>
    <t>认证证书</t>
  </si>
  <si>
    <t>T016</t>
  </si>
  <si>
    <t>量产准备</t>
  </si>
  <si>
    <t>量产爬坡计划</t>
  </si>
  <si>
    <t>T014,T015</t>
  </si>
  <si>
    <t>量产计划</t>
  </si>
  <si>
    <t>选项字典（飞书单选字段选项）</t>
  </si>
  <si>
    <t>字段</t>
  </si>
  <si>
    <t>选项值</t>
  </si>
  <si>
    <t>进行中</t>
  </si>
  <si>
    <t>待评审</t>
  </si>
  <si>
    <t>已完成</t>
  </si>
  <si>
    <t>阻塞</t>
  </si>
  <si>
    <t>提示：负责人名单以实际团队为准；导入飞书后如人员变动，需同步更新飞书「负责人」单选字段的选项。</t>
  </si>
  <si>
    <t>数据自检（导入飞书前查看）</t>
  </si>
  <si>
    <t>说明：本页自动检查「任务」页第 2～301 行。红色行表示该行有问题；多前置任务的「前置悬空(参考)」请用自检脚本完整核查。</t>
  </si>
  <si>
    <t>汇总</t>
  </si>
  <si>
    <t>检查项</t>
  </si>
  <si>
    <t>数量</t>
  </si>
  <si>
    <t>说明</t>
  </si>
  <si>
    <t>任务总数</t>
  </si>
  <si>
    <t>统计任务ID非空的行数</t>
  </si>
  <si>
    <t>重复ID涉及行数</t>
  </si>
  <si>
    <t>同一任务ID出现多次的行数</t>
  </si>
  <si>
    <t>缺必填-任务ID</t>
  </si>
  <si>
    <t>有内容但任务ID为空的行</t>
  </si>
  <si>
    <t>缺必填-阶段</t>
  </si>
  <si>
    <t>有内容但阶段为空的行</t>
  </si>
  <si>
    <t>缺必填-任务</t>
  </si>
  <si>
    <t>有内容但任务为空的行</t>
  </si>
  <si>
    <t>缺必填-负责人</t>
  </si>
  <si>
    <t>有内容但负责人为空的行</t>
  </si>
  <si>
    <t>缺必填-计划开始</t>
  </si>
  <si>
    <t>有内容但计划开始为空的行</t>
  </si>
  <si>
    <t>缺必填-计划结束</t>
  </si>
  <si>
    <t>有内容但计划结束为空的行</t>
  </si>
  <si>
    <t>缺必填-进度%</t>
  </si>
  <si>
    <t>有内容但进度为空或非数字的行</t>
  </si>
  <si>
    <t>日期异常（开始&gt;结束）</t>
  </si>
  <si>
    <t>计划开始晚于计划结束的行</t>
  </si>
  <si>
    <t>进度越界行数</t>
  </si>
  <si>
    <t>进度小于 0 或大于 100 的行</t>
  </si>
  <si>
    <t>通过条件：上方所有「数量」均为 0；否则到下方明细找红色行，改完再运行自检脚本。</t>
  </si>
  <si>
    <t>明细（对应任务页第 2～301 行，问题合计 &gt; 0 标红）</t>
  </si>
  <si>
    <t>任务行号</t>
  </si>
  <si>
    <t>重复ID</t>
  </si>
  <si>
    <t>缺必填</t>
  </si>
  <si>
    <t>日期异常</t>
  </si>
  <si>
    <t>进度越界</t>
  </si>
  <si>
    <t>前置悬空(参考)</t>
  </si>
  <si>
    <t>缺进度</t>
  </si>
  <si>
    <t>问题合计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</si>
</sst>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&quot;%&quot;"/>
  </numFmts>
  <fonts count="11">
    <font>
      <sz val="11"/>
      <name val="Carlito"/>
    </font>
    <font>
      <b/>
      <sz val="16"/>
      <color rgb="FFFFFFFF"/>
      <name val="Carlito"/>
    </font>
    <font>
      <b/>
      <sz val="11"/>
      <color rgb="FF1F4E79"/>
      <name val="Carlito"/>
    </font>
    <font>
      <sz val="11"/>
      <color rgb="FFC0392B"/>
      <name val="Carlito"/>
    </font>
    <font>
      <b/>
      <sz val="14"/>
      <color rgb="FFFFFFFF"/>
      <name val="Carlito"/>
    </font>
    <font>
      <b/>
      <sz val="11"/>
      <name val="Carlito"/>
    </font>
    <font>
      <sz val="11"/>
      <color rgb="FF666666"/>
      <name val="Carlito"/>
    </font>
    <font>
      <b/>
      <sz val="11"/>
      <color rgb="FFFFFFFF"/>
      <name val="Carlito"/>
    </font>
    <font>
      <b/>
      <sz val="11"/>
      <color rgb="FFC0392B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0" fontId="5" fillId="3" borderId="1" xfId="1" applyFont="1" applyFill="1" applyBorder="1" applyAlignment="1">
      <alignment horizontal="left" vertical="center"/>
    </xf>
    <xf numFmtId="0" fontId="0" fillId="0" borderId="1" xfId="1" applyFont="1" applyBorder="1" applyAlignment="1">
      <alignment vertical="center"/>
    </xf>
    <xf numFmtId="176" fontId="0" fillId="0" borderId="1" xfId="1" applyNumberFormat="1" applyFont="1" applyBorder="1" applyAlignment="1">
      <alignment vertical="center"/>
    </xf>
    <xf numFmtId="1" fontId="0" fillId="0" borderId="1" xfId="1" applyNumberFormat="1" applyFont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0" fillId="0" borderId="1" xfId="1" applyFont="1" applyBorder="1"/>
    <xf numFmtId="0" fontId="0" fillId="0" borderId="1" xfId="1" applyFont="1" applyBorder="1" applyAlignment="1">
      <alignment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176" fontId="0" fillId="0" borderId="1" xfId="1" applyNumberFormat="1" applyFont="1" applyBorder="1" applyAlignment="1">
      <alignment horizontal="center" vertical="center" wrapText="1"/>
    </xf>
    <xf numFmtId="177" fontId="0" fillId="0" borderId="1" xfId="1" applyNumberFormat="1" applyFont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left"/>
    </xf>
    <xf numFmtId="1" fontId="5" fillId="0" borderId="1" xfId="1" applyNumberFormat="1" applyFont="1" applyBorder="1" applyAlignment="1">
      <alignment horizontal="center"/>
    </xf>
    <xf numFmtId="1" fontId="0" fillId="0" borderId="0" xfId="1" applyNumberFormat="1" applyFont="1"/>
    <xf numFmtId="0" fontId="0" fillId="0" borderId="0" xfId="1" applyFont="1" applyAlignment="1">
      <alignment horizontal="left"/>
    </xf>
    <xf numFmtId="1" fontId="0" fillId="0" borderId="0" xfId="1" applyNumberFormat="1" applyFont="1" applyAlignment="1">
      <alignment horizontal="center"/>
    </xf>
    <xf numFmtId="0" fontId="0" fillId="0" borderId="0" xfId="1" applyFont="1" applyAlignment="1">
      <alignment vertical="center" wrapText="1"/>
    </xf>
    <xf numFmtId="0" fontId="2" fillId="3" borderId="0" xfId="1" applyFont="1" applyFill="1" applyAlignment="1">
      <alignment vertical="center"/>
    </xf>
    <xf numFmtId="0" fontId="3" fillId="0" borderId="0" xfId="1" applyFont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  <xf numFmtId="0" fontId="4" fillId="2" borderId="0" xfId="1" applyFont="1" applyFill="1" applyAlignment="1">
      <alignment horizontal="center" vertical="center"/>
    </xf>
    <xf numFmtId="0" fontId="6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6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1">
    <dxf>
      <font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任务表" displayName="任务表" ref="A1:P17" totalsRowShown="0">
  <tableColumns count="16">
    <tableColumn id="1" xr3:uid="{00000000-0010-0000-0000-000001000000}" name="任务ID"/>
    <tableColumn id="2" xr3:uid="{00000000-0010-0000-0000-000002000000}" name="阶段"/>
    <tableColumn id="3" xr3:uid="{00000000-0010-0000-0000-000003000000}" name="任务"/>
    <tableColumn id="4" xr3:uid="{00000000-0010-0000-0000-000004000000}" name="子任务"/>
    <tableColumn id="5" xr3:uid="{00000000-0010-0000-0000-000005000000}" name="负责人"/>
    <tableColumn id="6" xr3:uid="{00000000-0010-0000-0000-000006000000}" name="协作部门"/>
    <tableColumn id="7" xr3:uid="{00000000-0010-0000-0000-000007000000}" name="计划开始"/>
    <tableColumn id="8" xr3:uid="{00000000-0010-0000-0000-000008000000}" name="计划结束"/>
    <tableColumn id="9" xr3:uid="{00000000-0010-0000-0000-000009000000}" name="进度%"/>
    <tableColumn id="10" xr3:uid="{00000000-0010-0000-0000-00000A000000}" name="前置任务"/>
    <tableColumn id="11" xr3:uid="{00000000-0010-0000-0000-00000B000000}" name="里程碑"/>
    <tableColumn id="12" xr3:uid="{00000000-0010-0000-0000-00000C000000}" name="优先级"/>
    <tableColumn id="13" xr3:uid="{00000000-0010-0000-0000-00000D000000}" name="状态"/>
    <tableColumn id="14" xr3:uid="{00000000-0010-0000-0000-00000E000000}" name="风险等级"/>
    <tableColumn id="15" xr3:uid="{00000000-0010-0000-0000-00000F000000}" name="交付物"/>
    <tableColumn id="16" xr3:uid="{00000000-0010-0000-0000-000010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workbookViewId="0">
      <selection sqref="A1:H1"/>
    </sheetView>
  </sheetViews>
  <sheetFormatPr baseColWidth="10" defaultColWidth="8.83203125" defaultRowHeight="14"/>
  <cols>
    <col min="1" max="4" width="14" customWidth="1"/>
    <col min="5" max="5" width="60" customWidth="1"/>
    <col min="6" max="8" width="14" customWidth="1"/>
  </cols>
  <sheetData>
    <row r="1" spans="1:8" ht="36" customHeight="1">
      <c r="A1" s="21" t="s">
        <v>0</v>
      </c>
      <c r="B1" s="21" t="s">
        <v>0</v>
      </c>
      <c r="C1" s="21" t="s">
        <v>0</v>
      </c>
      <c r="D1" s="21" t="s">
        <v>0</v>
      </c>
      <c r="E1" s="21" t="s">
        <v>0</v>
      </c>
      <c r="F1" s="21" t="s">
        <v>0</v>
      </c>
      <c r="G1" s="21" t="s">
        <v>0</v>
      </c>
      <c r="H1" s="21" t="s">
        <v>0</v>
      </c>
    </row>
    <row r="3" spans="1:8">
      <c r="A3" s="22" t="s">
        <v>1</v>
      </c>
      <c r="B3" s="22" t="s">
        <v>1</v>
      </c>
      <c r="C3" s="22" t="s">
        <v>1</v>
      </c>
      <c r="D3" s="22" t="s">
        <v>1</v>
      </c>
      <c r="E3" s="22" t="s">
        <v>1</v>
      </c>
      <c r="F3" s="22" t="s">
        <v>1</v>
      </c>
      <c r="G3" s="22" t="s">
        <v>1</v>
      </c>
      <c r="H3" s="22" t="s">
        <v>1</v>
      </c>
    </row>
    <row r="4" spans="1:8">
      <c r="A4" s="22" t="s">
        <v>1</v>
      </c>
      <c r="B4" s="22" t="s">
        <v>1</v>
      </c>
      <c r="C4" s="22" t="s">
        <v>1</v>
      </c>
      <c r="D4" s="22" t="s">
        <v>1</v>
      </c>
      <c r="E4" s="22" t="s">
        <v>1</v>
      </c>
      <c r="F4" s="22" t="s">
        <v>1</v>
      </c>
      <c r="G4" s="22" t="s">
        <v>1</v>
      </c>
      <c r="H4" s="22" t="s">
        <v>1</v>
      </c>
    </row>
    <row r="6" spans="1:8" ht="24" customHeight="1">
      <c r="A6" s="19" t="s">
        <v>2</v>
      </c>
      <c r="B6" s="19" t="s">
        <v>2</v>
      </c>
      <c r="C6" s="19" t="s">
        <v>2</v>
      </c>
      <c r="D6" s="19" t="s">
        <v>2</v>
      </c>
      <c r="E6" s="19" t="s">
        <v>2</v>
      </c>
      <c r="F6" s="19" t="s">
        <v>2</v>
      </c>
      <c r="G6" s="19" t="s">
        <v>2</v>
      </c>
      <c r="H6" s="19" t="s">
        <v>2</v>
      </c>
    </row>
    <row r="7" spans="1:8" ht="24" customHeight="1">
      <c r="A7" s="18" t="s">
        <v>3</v>
      </c>
      <c r="B7" s="18"/>
      <c r="C7" s="18"/>
      <c r="D7" s="18"/>
      <c r="E7" s="18"/>
      <c r="F7" s="18"/>
      <c r="G7" s="18"/>
      <c r="H7" s="18"/>
    </row>
    <row r="8" spans="1:8" ht="24" customHeight="1">
      <c r="A8" s="18" t="s">
        <v>4</v>
      </c>
      <c r="B8" s="18"/>
      <c r="C8" s="18"/>
      <c r="D8" s="18"/>
      <c r="E8" s="18"/>
      <c r="F8" s="18"/>
      <c r="G8" s="18"/>
      <c r="H8" s="18"/>
    </row>
    <row r="9" spans="1:8" ht="24" customHeight="1">
      <c r="A9" s="18" t="s">
        <v>5</v>
      </c>
      <c r="B9" s="18"/>
      <c r="C9" s="18"/>
      <c r="D9" s="18"/>
      <c r="E9" s="18"/>
      <c r="F9" s="18"/>
      <c r="G9" s="18"/>
      <c r="H9" s="18"/>
    </row>
    <row r="10" spans="1:8" ht="24" customHeight="1">
      <c r="A10" s="18" t="s">
        <v>6</v>
      </c>
      <c r="B10" s="18"/>
      <c r="C10" s="18"/>
      <c r="D10" s="18"/>
      <c r="E10" s="18"/>
      <c r="F10" s="18"/>
      <c r="G10" s="18"/>
      <c r="H10" s="18"/>
    </row>
    <row r="11" spans="1:8" ht="24" customHeight="1">
      <c r="A11" s="18" t="s">
        <v>7</v>
      </c>
      <c r="B11" s="18"/>
      <c r="C11" s="18"/>
      <c r="D11" s="18"/>
      <c r="E11" s="18"/>
      <c r="F11" s="18"/>
      <c r="G11" s="18"/>
      <c r="H11" s="18"/>
    </row>
    <row r="12" spans="1:8" ht="24" customHeight="1">
      <c r="A12" s="18" t="s">
        <v>8</v>
      </c>
      <c r="B12" s="18"/>
      <c r="C12" s="18"/>
      <c r="D12" s="18"/>
      <c r="E12" s="18"/>
      <c r="F12" s="18"/>
      <c r="G12" s="18"/>
      <c r="H12" s="18"/>
    </row>
    <row r="14" spans="1:8" ht="24" customHeight="1">
      <c r="A14" s="19" t="s">
        <v>9</v>
      </c>
      <c r="B14" s="19" t="s">
        <v>9</v>
      </c>
      <c r="C14" s="19" t="s">
        <v>9</v>
      </c>
      <c r="D14" s="19" t="s">
        <v>9</v>
      </c>
      <c r="E14" s="19" t="s">
        <v>9</v>
      </c>
      <c r="F14" s="19" t="s">
        <v>9</v>
      </c>
      <c r="G14" s="19" t="s">
        <v>9</v>
      </c>
      <c r="H14" s="19" t="s">
        <v>9</v>
      </c>
    </row>
    <row r="15" spans="1:8" ht="24" customHeight="1">
      <c r="A15" s="18" t="s">
        <v>10</v>
      </c>
      <c r="B15" s="18"/>
      <c r="C15" s="18"/>
      <c r="D15" s="18"/>
      <c r="E15" s="18"/>
      <c r="F15" s="18"/>
      <c r="G15" s="18"/>
      <c r="H15" s="18"/>
    </row>
    <row r="16" spans="1:8" ht="24" customHeight="1">
      <c r="A16" s="18" t="s">
        <v>11</v>
      </c>
      <c r="B16" s="18"/>
      <c r="C16" s="18"/>
      <c r="D16" s="18"/>
      <c r="E16" s="18"/>
      <c r="F16" s="18"/>
      <c r="G16" s="18"/>
      <c r="H16" s="18"/>
    </row>
    <row r="17" spans="1:8" ht="24" customHeight="1">
      <c r="A17" s="18" t="s">
        <v>12</v>
      </c>
      <c r="B17" s="18"/>
      <c r="C17" s="18"/>
      <c r="D17" s="18"/>
      <c r="E17" s="18"/>
      <c r="F17" s="18"/>
      <c r="G17" s="18"/>
      <c r="H17" s="18"/>
    </row>
    <row r="18" spans="1:8" ht="24" customHeight="1">
      <c r="A18" s="18" t="s">
        <v>13</v>
      </c>
      <c r="B18" s="18"/>
      <c r="C18" s="18"/>
      <c r="D18" s="18"/>
      <c r="E18" s="18"/>
      <c r="F18" s="18"/>
      <c r="G18" s="18"/>
      <c r="H18" s="18"/>
    </row>
    <row r="19" spans="1:8" ht="24" customHeight="1">
      <c r="A19" s="18" t="s">
        <v>14</v>
      </c>
      <c r="B19" s="18"/>
      <c r="C19" s="18"/>
      <c r="D19" s="18"/>
      <c r="E19" s="18"/>
      <c r="F19" s="18"/>
      <c r="G19" s="18"/>
      <c r="H19" s="18"/>
    </row>
    <row r="22" spans="1:8" ht="24" customHeight="1">
      <c r="A22" s="19" t="s">
        <v>15</v>
      </c>
      <c r="B22" s="19" t="s">
        <v>15</v>
      </c>
      <c r="C22" s="19" t="s">
        <v>15</v>
      </c>
      <c r="D22" s="19" t="s">
        <v>15</v>
      </c>
      <c r="E22" s="19" t="s">
        <v>15</v>
      </c>
      <c r="F22" s="19" t="s">
        <v>15</v>
      </c>
      <c r="G22" s="19" t="s">
        <v>15</v>
      </c>
      <c r="H22" s="19" t="s">
        <v>15</v>
      </c>
    </row>
    <row r="23" spans="1:8" ht="24" customHeight="1">
      <c r="A23" s="20" t="s">
        <v>16</v>
      </c>
      <c r="B23" s="20"/>
      <c r="C23" s="20"/>
      <c r="D23" s="20"/>
      <c r="E23" s="20"/>
      <c r="F23" s="20"/>
      <c r="G23" s="20"/>
      <c r="H23" s="20"/>
    </row>
    <row r="24" spans="1:8" ht="24" customHeight="1">
      <c r="A24" s="20" t="s">
        <v>17</v>
      </c>
      <c r="B24" s="20"/>
      <c r="C24" s="20"/>
      <c r="D24" s="20"/>
      <c r="E24" s="20"/>
      <c r="F24" s="20"/>
      <c r="G24" s="20"/>
      <c r="H24" s="20"/>
    </row>
    <row r="25" spans="1:8" ht="24" customHeight="1">
      <c r="A25" s="20" t="s">
        <v>18</v>
      </c>
      <c r="B25" s="20"/>
      <c r="C25" s="20"/>
      <c r="D25" s="20"/>
      <c r="E25" s="20"/>
      <c r="F25" s="20"/>
      <c r="G25" s="20"/>
      <c r="H25" s="20"/>
    </row>
    <row r="27" spans="1:8" ht="24" customHeight="1">
      <c r="A27" s="19" t="s">
        <v>19</v>
      </c>
      <c r="B27" s="19" t="s">
        <v>19</v>
      </c>
      <c r="C27" s="19" t="s">
        <v>19</v>
      </c>
      <c r="D27" s="19" t="s">
        <v>19</v>
      </c>
      <c r="E27" s="19" t="s">
        <v>19</v>
      </c>
      <c r="F27" s="19" t="s">
        <v>19</v>
      </c>
      <c r="G27" s="19" t="s">
        <v>19</v>
      </c>
      <c r="H27" s="19" t="s">
        <v>19</v>
      </c>
    </row>
    <row r="28" spans="1:8" ht="24" customHeight="1">
      <c r="A28" s="18" t="s">
        <v>20</v>
      </c>
      <c r="B28" s="18"/>
      <c r="C28" s="18"/>
      <c r="D28" s="18"/>
      <c r="E28" s="18"/>
      <c r="F28" s="18"/>
      <c r="G28" s="18"/>
      <c r="H28" s="18"/>
    </row>
    <row r="29" spans="1:8" ht="24" customHeight="1">
      <c r="A29" s="18" t="s">
        <v>21</v>
      </c>
      <c r="B29" s="18"/>
      <c r="C29" s="18"/>
      <c r="D29" s="18"/>
      <c r="E29" s="18"/>
      <c r="F29" s="18"/>
      <c r="G29" s="18"/>
      <c r="H29" s="18"/>
    </row>
    <row r="30" spans="1:8" ht="24" customHeight="1">
      <c r="A30" s="18" t="s">
        <v>22</v>
      </c>
      <c r="B30" s="18"/>
      <c r="C30" s="18"/>
      <c r="D30" s="18"/>
      <c r="E30" s="18"/>
      <c r="F30" s="18"/>
      <c r="G30" s="18"/>
      <c r="H30" s="18"/>
    </row>
    <row r="31" spans="1:8" ht="24" customHeight="1">
      <c r="A31" s="18" t="s">
        <v>23</v>
      </c>
      <c r="B31" s="18"/>
      <c r="C31" s="18"/>
      <c r="D31" s="18"/>
      <c r="E31" s="18"/>
      <c r="F31" s="18"/>
      <c r="G31" s="18"/>
      <c r="H31" s="18"/>
    </row>
    <row r="33" spans="1:8" ht="24" customHeight="1">
      <c r="A33" s="19" t="s">
        <v>24</v>
      </c>
      <c r="B33" s="19" t="s">
        <v>24</v>
      </c>
      <c r="C33" s="19" t="s">
        <v>24</v>
      </c>
      <c r="D33" s="19" t="s">
        <v>24</v>
      </c>
      <c r="E33" s="19" t="s">
        <v>24</v>
      </c>
      <c r="F33" s="19" t="s">
        <v>24</v>
      </c>
      <c r="G33" s="19" t="s">
        <v>24</v>
      </c>
      <c r="H33" s="19" t="s">
        <v>24</v>
      </c>
    </row>
    <row r="34" spans="1:8" ht="24" customHeight="1">
      <c r="A34" s="18" t="s">
        <v>25</v>
      </c>
      <c r="B34" s="18"/>
      <c r="C34" s="18"/>
      <c r="D34" s="18"/>
      <c r="E34" s="18"/>
      <c r="F34" s="18"/>
      <c r="G34" s="18"/>
      <c r="H34" s="18"/>
    </row>
    <row r="35" spans="1:8" ht="24" customHeight="1">
      <c r="A35" s="18" t="s">
        <v>26</v>
      </c>
      <c r="B35" s="18"/>
      <c r="C35" s="18"/>
      <c r="D35" s="18"/>
      <c r="E35" s="18"/>
      <c r="F35" s="18"/>
      <c r="G35" s="18"/>
      <c r="H35" s="18"/>
    </row>
    <row r="36" spans="1:8" ht="24" customHeight="1">
      <c r="A36" s="18" t="s">
        <v>27</v>
      </c>
      <c r="B36" s="18"/>
      <c r="C36" s="18"/>
      <c r="D36" s="18"/>
      <c r="E36" s="18"/>
      <c r="F36" s="18"/>
      <c r="G36" s="18"/>
      <c r="H36" s="18"/>
    </row>
  </sheetData>
  <mergeCells count="28">
    <mergeCell ref="A1:H1"/>
    <mergeCell ref="A3:H4"/>
    <mergeCell ref="A6:H6"/>
    <mergeCell ref="A7:H7"/>
    <mergeCell ref="A8:H8"/>
    <mergeCell ref="A9:H9"/>
    <mergeCell ref="A10:H10"/>
    <mergeCell ref="A11:H11"/>
    <mergeCell ref="A12:H12"/>
    <mergeCell ref="A14:H14"/>
    <mergeCell ref="A15:H15"/>
    <mergeCell ref="A16:H16"/>
    <mergeCell ref="A17:H17"/>
    <mergeCell ref="A18:H18"/>
    <mergeCell ref="A19:H19"/>
    <mergeCell ref="A22:H22"/>
    <mergeCell ref="A23:H23"/>
    <mergeCell ref="A24:H24"/>
    <mergeCell ref="A25:H25"/>
    <mergeCell ref="A27:H27"/>
    <mergeCell ref="A34:H34"/>
    <mergeCell ref="A35:H35"/>
    <mergeCell ref="A36:H36"/>
    <mergeCell ref="A28:H28"/>
    <mergeCell ref="A29:H29"/>
    <mergeCell ref="A30:H30"/>
    <mergeCell ref="A31:H31"/>
    <mergeCell ref="A33:H33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selection sqref="A1:B1"/>
    </sheetView>
  </sheetViews>
  <sheetFormatPr baseColWidth="10" defaultColWidth="8.83203125" defaultRowHeight="14"/>
  <cols>
    <col min="1" max="1" width="18" customWidth="1"/>
    <col min="2" max="2" width="36" customWidth="1"/>
  </cols>
  <sheetData>
    <row r="1" spans="1:2" ht="30" customHeight="1">
      <c r="A1" s="23" t="s">
        <v>28</v>
      </c>
      <c r="B1" s="23" t="s">
        <v>28</v>
      </c>
    </row>
    <row r="2" spans="1:2" ht="24" customHeight="1">
      <c r="A2" s="1" t="s">
        <v>29</v>
      </c>
      <c r="B2" s="2" t="s">
        <v>30</v>
      </c>
    </row>
    <row r="3" spans="1:2" ht="24" customHeight="1">
      <c r="A3" s="1" t="s">
        <v>31</v>
      </c>
      <c r="B3" s="3">
        <v>46244</v>
      </c>
    </row>
    <row r="4" spans="1:2" ht="24" customHeight="1">
      <c r="A4" s="1" t="s">
        <v>32</v>
      </c>
      <c r="B4" s="3">
        <v>46387</v>
      </c>
    </row>
    <row r="5" spans="1:2" ht="24" customHeight="1">
      <c r="A5" s="1" t="s">
        <v>33</v>
      </c>
      <c r="B5" s="4">
        <v>5</v>
      </c>
    </row>
    <row r="6" spans="1:2" ht="24" customHeight="1">
      <c r="A6" s="1" t="s">
        <v>34</v>
      </c>
      <c r="B6" s="2" t="s">
        <v>35</v>
      </c>
    </row>
    <row r="7" spans="1:2" ht="24" customHeight="1">
      <c r="A7" s="1" t="s">
        <v>36</v>
      </c>
      <c r="B7" s="2" t="s">
        <v>37</v>
      </c>
    </row>
    <row r="9" spans="1:2" ht="40" customHeight="1">
      <c r="A9" s="24" t="s">
        <v>38</v>
      </c>
      <c r="B9" s="24" t="s">
        <v>38</v>
      </c>
    </row>
    <row r="10" spans="1:2" ht="40" customHeight="1">
      <c r="A10" s="24" t="s">
        <v>38</v>
      </c>
      <c r="B10" s="24" t="s">
        <v>38</v>
      </c>
    </row>
  </sheetData>
  <mergeCells count="2">
    <mergeCell ref="A1:B1"/>
    <mergeCell ref="A9:B10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showGridLines="0" tabSelected="1" workbookViewId="0">
      <selection activeCell="G25" sqref="G25"/>
    </sheetView>
  </sheetViews>
  <sheetFormatPr baseColWidth="10" defaultColWidth="8.83203125" defaultRowHeight="14"/>
  <cols>
    <col min="1" max="1" width="10" customWidth="1"/>
    <col min="2" max="2" width="14" customWidth="1"/>
    <col min="3" max="3" width="18" customWidth="1"/>
    <col min="4" max="4" width="22" customWidth="1"/>
    <col min="5" max="5" width="10" customWidth="1"/>
    <col min="6" max="6" width="12" customWidth="1"/>
    <col min="7" max="8" width="14" customWidth="1"/>
    <col min="9" max="9" width="10" customWidth="1"/>
    <col min="10" max="10" width="16" customWidth="1"/>
    <col min="11" max="12" width="10" customWidth="1"/>
    <col min="13" max="14" width="12" customWidth="1"/>
    <col min="15" max="15" width="18" customWidth="1"/>
    <col min="16" max="16" width="28" customWidth="1"/>
  </cols>
  <sheetData>
    <row r="1" spans="1:16" ht="28" customHeight="1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  <c r="M1" s="5" t="s">
        <v>51</v>
      </c>
      <c r="N1" s="5" t="s">
        <v>52</v>
      </c>
      <c r="O1" s="5" t="s">
        <v>53</v>
      </c>
      <c r="P1" s="5" t="s">
        <v>54</v>
      </c>
    </row>
    <row r="2" spans="1:16" ht="15">
      <c r="A2" s="8" t="s">
        <v>55</v>
      </c>
      <c r="B2" s="8" t="s">
        <v>56</v>
      </c>
      <c r="C2" s="9" t="s">
        <v>57</v>
      </c>
      <c r="D2" s="9" t="s">
        <v>58</v>
      </c>
      <c r="E2" s="8" t="s">
        <v>59</v>
      </c>
      <c r="F2" s="8" t="s">
        <v>60</v>
      </c>
      <c r="G2" s="10">
        <v>46213</v>
      </c>
      <c r="H2" s="10">
        <v>46224</v>
      </c>
      <c r="I2" s="11">
        <v>0</v>
      </c>
      <c r="J2" s="8"/>
      <c r="K2" s="8" t="s">
        <v>61</v>
      </c>
      <c r="L2" s="8" t="s">
        <v>62</v>
      </c>
      <c r="M2" s="8" t="s">
        <v>63</v>
      </c>
      <c r="N2" s="8" t="s">
        <v>64</v>
      </c>
      <c r="O2" s="8" t="s">
        <v>65</v>
      </c>
      <c r="P2" s="9" t="s">
        <v>66</v>
      </c>
    </row>
    <row r="3" spans="1:16" ht="15">
      <c r="A3" s="8" t="s">
        <v>67</v>
      </c>
      <c r="B3" s="8" t="s">
        <v>56</v>
      </c>
      <c r="C3" s="9" t="s">
        <v>68</v>
      </c>
      <c r="D3" s="9" t="s">
        <v>69</v>
      </c>
      <c r="E3" s="8" t="s">
        <v>70</v>
      </c>
      <c r="F3" s="8" t="s">
        <v>60</v>
      </c>
      <c r="G3" s="10">
        <v>46220</v>
      </c>
      <c r="H3" s="10">
        <v>46231</v>
      </c>
      <c r="I3" s="11">
        <v>0</v>
      </c>
      <c r="J3" s="8" t="s">
        <v>55</v>
      </c>
      <c r="K3" s="8" t="s">
        <v>71</v>
      </c>
      <c r="L3" s="8" t="s">
        <v>62</v>
      </c>
      <c r="M3" s="8" t="s">
        <v>63</v>
      </c>
      <c r="N3" s="8" t="s">
        <v>72</v>
      </c>
      <c r="O3" s="8" t="s">
        <v>73</v>
      </c>
      <c r="P3" s="9" t="s">
        <v>49</v>
      </c>
    </row>
    <row r="4" spans="1:16" ht="15">
      <c r="A4" s="8" t="s">
        <v>74</v>
      </c>
      <c r="B4" s="8" t="s">
        <v>75</v>
      </c>
      <c r="C4" s="9" t="s">
        <v>76</v>
      </c>
      <c r="D4" s="9" t="s">
        <v>77</v>
      </c>
      <c r="E4" s="8" t="s">
        <v>78</v>
      </c>
      <c r="F4" s="8" t="s">
        <v>76</v>
      </c>
      <c r="G4" s="10">
        <v>46258</v>
      </c>
      <c r="H4" s="10">
        <v>46276</v>
      </c>
      <c r="I4" s="11">
        <v>0</v>
      </c>
      <c r="J4" s="8" t="s">
        <v>67</v>
      </c>
      <c r="K4" s="8" t="s">
        <v>71</v>
      </c>
      <c r="L4" s="8" t="s">
        <v>62</v>
      </c>
      <c r="M4" s="8" t="s">
        <v>63</v>
      </c>
      <c r="N4" s="8" t="s">
        <v>64</v>
      </c>
      <c r="O4" s="8" t="s">
        <v>79</v>
      </c>
      <c r="P4" s="9" t="s">
        <v>49</v>
      </c>
    </row>
    <row r="5" spans="1:16" ht="15">
      <c r="A5" s="8" t="s">
        <v>80</v>
      </c>
      <c r="B5" s="8" t="s">
        <v>75</v>
      </c>
      <c r="C5" s="9" t="s">
        <v>81</v>
      </c>
      <c r="D5" s="9" t="s">
        <v>82</v>
      </c>
      <c r="E5" s="8" t="s">
        <v>83</v>
      </c>
      <c r="F5" s="8" t="s">
        <v>84</v>
      </c>
      <c r="G5" s="10">
        <v>46265</v>
      </c>
      <c r="H5" s="10">
        <v>46290</v>
      </c>
      <c r="I5" s="11">
        <v>0</v>
      </c>
      <c r="J5" s="8" t="s">
        <v>67</v>
      </c>
      <c r="K5" s="8" t="s">
        <v>61</v>
      </c>
      <c r="L5" s="8" t="s">
        <v>62</v>
      </c>
      <c r="M5" s="8" t="s">
        <v>63</v>
      </c>
      <c r="N5" s="8" t="s">
        <v>64</v>
      </c>
      <c r="O5" s="8" t="s">
        <v>85</v>
      </c>
      <c r="P5" s="9"/>
    </row>
    <row r="6" spans="1:16" ht="15">
      <c r="A6" s="8" t="s">
        <v>86</v>
      </c>
      <c r="B6" s="8" t="s">
        <v>75</v>
      </c>
      <c r="C6" s="9" t="s">
        <v>87</v>
      </c>
      <c r="D6" s="9" t="s">
        <v>88</v>
      </c>
      <c r="E6" s="8" t="s">
        <v>89</v>
      </c>
      <c r="F6" s="8" t="s">
        <v>90</v>
      </c>
      <c r="G6" s="10">
        <v>46265</v>
      </c>
      <c r="H6" s="10">
        <v>46290</v>
      </c>
      <c r="I6" s="11">
        <v>0</v>
      </c>
      <c r="J6" s="8" t="s">
        <v>67</v>
      </c>
      <c r="K6" s="8" t="s">
        <v>61</v>
      </c>
      <c r="L6" s="8" t="s">
        <v>62</v>
      </c>
      <c r="M6" s="8" t="s">
        <v>63</v>
      </c>
      <c r="N6" s="8" t="s">
        <v>64</v>
      </c>
      <c r="O6" s="8" t="s">
        <v>91</v>
      </c>
      <c r="P6" s="9"/>
    </row>
    <row r="7" spans="1:16" ht="15">
      <c r="A7" s="8" t="s">
        <v>92</v>
      </c>
      <c r="B7" s="8" t="s">
        <v>93</v>
      </c>
      <c r="C7" s="9" t="s">
        <v>94</v>
      </c>
      <c r="D7" s="9" t="s">
        <v>95</v>
      </c>
      <c r="E7" s="8" t="s">
        <v>96</v>
      </c>
      <c r="F7" s="8" t="s">
        <v>97</v>
      </c>
      <c r="G7" s="10">
        <v>46279</v>
      </c>
      <c r="H7" s="10">
        <v>46295</v>
      </c>
      <c r="I7" s="11">
        <v>0</v>
      </c>
      <c r="J7" s="8" t="s">
        <v>86</v>
      </c>
      <c r="K7" s="8" t="s">
        <v>61</v>
      </c>
      <c r="L7" s="8" t="s">
        <v>62</v>
      </c>
      <c r="M7" s="8" t="s">
        <v>63</v>
      </c>
      <c r="N7" s="8" t="s">
        <v>72</v>
      </c>
      <c r="O7" s="8" t="s">
        <v>98</v>
      </c>
      <c r="P7" s="9"/>
    </row>
    <row r="8" spans="1:16" ht="15">
      <c r="A8" s="8" t="s">
        <v>99</v>
      </c>
      <c r="B8" s="8" t="s">
        <v>93</v>
      </c>
      <c r="C8" s="9" t="s">
        <v>100</v>
      </c>
      <c r="D8" s="9" t="s">
        <v>101</v>
      </c>
      <c r="E8" s="8" t="s">
        <v>102</v>
      </c>
      <c r="F8" s="8" t="s">
        <v>103</v>
      </c>
      <c r="G8" s="10">
        <v>46279</v>
      </c>
      <c r="H8" s="10">
        <v>46295</v>
      </c>
      <c r="I8" s="11">
        <v>0</v>
      </c>
      <c r="J8" s="8" t="s">
        <v>80</v>
      </c>
      <c r="K8" s="8" t="s">
        <v>61</v>
      </c>
      <c r="L8" s="8" t="s">
        <v>64</v>
      </c>
      <c r="M8" s="8" t="s">
        <v>63</v>
      </c>
      <c r="N8" s="8" t="s">
        <v>72</v>
      </c>
      <c r="O8" s="8" t="s">
        <v>104</v>
      </c>
      <c r="P8" s="9"/>
    </row>
    <row r="9" spans="1:16" ht="30">
      <c r="A9" s="8" t="s">
        <v>105</v>
      </c>
      <c r="B9" s="8" t="s">
        <v>93</v>
      </c>
      <c r="C9" s="9" t="s">
        <v>106</v>
      </c>
      <c r="D9" s="9"/>
      <c r="E9" s="8" t="s">
        <v>70</v>
      </c>
      <c r="F9" s="8" t="s">
        <v>107</v>
      </c>
      <c r="G9" s="10">
        <v>46296</v>
      </c>
      <c r="H9" s="10">
        <v>46303</v>
      </c>
      <c r="I9" s="11">
        <v>0</v>
      </c>
      <c r="J9" s="8" t="s">
        <v>108</v>
      </c>
      <c r="K9" s="8" t="s">
        <v>71</v>
      </c>
      <c r="L9" s="8" t="s">
        <v>62</v>
      </c>
      <c r="M9" s="8" t="s">
        <v>63</v>
      </c>
      <c r="N9" s="8" t="s">
        <v>64</v>
      </c>
      <c r="O9" s="8" t="s">
        <v>109</v>
      </c>
      <c r="P9" s="9" t="s">
        <v>110</v>
      </c>
    </row>
    <row r="10" spans="1:16" ht="15">
      <c r="A10" s="8" t="s">
        <v>111</v>
      </c>
      <c r="B10" s="8" t="s">
        <v>112</v>
      </c>
      <c r="C10" s="9" t="s">
        <v>113</v>
      </c>
      <c r="D10" s="9" t="s">
        <v>114</v>
      </c>
      <c r="E10" s="8" t="s">
        <v>83</v>
      </c>
      <c r="F10" s="8" t="s">
        <v>84</v>
      </c>
      <c r="G10" s="10">
        <v>46304</v>
      </c>
      <c r="H10" s="10">
        <v>46315</v>
      </c>
      <c r="I10" s="11">
        <v>0</v>
      </c>
      <c r="J10" s="8" t="s">
        <v>105</v>
      </c>
      <c r="K10" s="8" t="s">
        <v>61</v>
      </c>
      <c r="L10" s="8" t="s">
        <v>62</v>
      </c>
      <c r="M10" s="8" t="s">
        <v>63</v>
      </c>
      <c r="N10" s="8" t="s">
        <v>64</v>
      </c>
      <c r="O10" s="8" t="s">
        <v>115</v>
      </c>
      <c r="P10" s="9"/>
    </row>
    <row r="11" spans="1:16" ht="15">
      <c r="A11" s="8" t="s">
        <v>116</v>
      </c>
      <c r="B11" s="8" t="s">
        <v>112</v>
      </c>
      <c r="C11" s="9" t="s">
        <v>117</v>
      </c>
      <c r="D11" s="9" t="s">
        <v>118</v>
      </c>
      <c r="E11" s="8" t="s">
        <v>89</v>
      </c>
      <c r="F11" s="8" t="s">
        <v>90</v>
      </c>
      <c r="G11" s="10">
        <v>46314</v>
      </c>
      <c r="H11" s="10">
        <v>46325</v>
      </c>
      <c r="I11" s="11">
        <v>0</v>
      </c>
      <c r="J11" s="8" t="s">
        <v>111</v>
      </c>
      <c r="K11" s="8" t="s">
        <v>61</v>
      </c>
      <c r="L11" s="8" t="s">
        <v>62</v>
      </c>
      <c r="M11" s="8" t="s">
        <v>63</v>
      </c>
      <c r="N11" s="8" t="s">
        <v>62</v>
      </c>
      <c r="O11" s="8" t="s">
        <v>119</v>
      </c>
      <c r="P11" s="9"/>
    </row>
    <row r="12" spans="1:16" ht="15">
      <c r="A12" s="8" t="s">
        <v>120</v>
      </c>
      <c r="B12" s="8" t="s">
        <v>112</v>
      </c>
      <c r="C12" s="9" t="s">
        <v>121</v>
      </c>
      <c r="D12" s="9" t="s">
        <v>122</v>
      </c>
      <c r="E12" s="8" t="s">
        <v>59</v>
      </c>
      <c r="F12" s="8" t="s">
        <v>107</v>
      </c>
      <c r="G12" s="10">
        <v>46321</v>
      </c>
      <c r="H12" s="10">
        <v>46332</v>
      </c>
      <c r="I12" s="11">
        <v>0</v>
      </c>
      <c r="J12" s="8" t="s">
        <v>116</v>
      </c>
      <c r="K12" s="8" t="s">
        <v>61</v>
      </c>
      <c r="L12" s="8" t="s">
        <v>62</v>
      </c>
      <c r="M12" s="8" t="s">
        <v>63</v>
      </c>
      <c r="N12" s="8" t="s">
        <v>62</v>
      </c>
      <c r="O12" s="8" t="s">
        <v>123</v>
      </c>
      <c r="P12" s="9"/>
    </row>
    <row r="13" spans="1:16" ht="15">
      <c r="A13" s="8" t="s">
        <v>124</v>
      </c>
      <c r="B13" s="8" t="s">
        <v>125</v>
      </c>
      <c r="C13" s="9" t="s">
        <v>126</v>
      </c>
      <c r="D13" s="9" t="s">
        <v>127</v>
      </c>
      <c r="E13" s="8" t="s">
        <v>102</v>
      </c>
      <c r="F13" s="8" t="s">
        <v>103</v>
      </c>
      <c r="G13" s="10">
        <v>46335</v>
      </c>
      <c r="H13" s="10">
        <v>46353</v>
      </c>
      <c r="I13" s="11">
        <v>0</v>
      </c>
      <c r="J13" s="8" t="s">
        <v>120</v>
      </c>
      <c r="K13" s="8" t="s">
        <v>61</v>
      </c>
      <c r="L13" s="8" t="s">
        <v>62</v>
      </c>
      <c r="M13" s="8" t="s">
        <v>63</v>
      </c>
      <c r="N13" s="8" t="s">
        <v>62</v>
      </c>
      <c r="O13" s="8" t="s">
        <v>128</v>
      </c>
      <c r="P13" s="9"/>
    </row>
    <row r="14" spans="1:16" ht="15">
      <c r="A14" s="8" t="s">
        <v>129</v>
      </c>
      <c r="B14" s="8" t="s">
        <v>125</v>
      </c>
      <c r="C14" s="9" t="s">
        <v>130</v>
      </c>
      <c r="D14" s="9" t="s">
        <v>131</v>
      </c>
      <c r="E14" s="8" t="s">
        <v>132</v>
      </c>
      <c r="F14" s="8" t="s">
        <v>103</v>
      </c>
      <c r="G14" s="10">
        <v>46349</v>
      </c>
      <c r="H14" s="10">
        <v>46360</v>
      </c>
      <c r="I14" s="11">
        <v>0</v>
      </c>
      <c r="J14" s="8" t="s">
        <v>124</v>
      </c>
      <c r="K14" s="8" t="s">
        <v>61</v>
      </c>
      <c r="L14" s="8" t="s">
        <v>64</v>
      </c>
      <c r="M14" s="8" t="s">
        <v>63</v>
      </c>
      <c r="N14" s="8" t="s">
        <v>64</v>
      </c>
      <c r="O14" s="8" t="s">
        <v>133</v>
      </c>
      <c r="P14" s="9"/>
    </row>
    <row r="15" spans="1:16" ht="15">
      <c r="A15" s="8" t="s">
        <v>134</v>
      </c>
      <c r="B15" s="8" t="s">
        <v>125</v>
      </c>
      <c r="C15" s="9" t="s">
        <v>135</v>
      </c>
      <c r="D15" s="9" t="s">
        <v>136</v>
      </c>
      <c r="E15" s="8" t="s">
        <v>132</v>
      </c>
      <c r="F15" s="8" t="s">
        <v>107</v>
      </c>
      <c r="G15" s="10">
        <v>46363</v>
      </c>
      <c r="H15" s="10">
        <v>46374</v>
      </c>
      <c r="I15" s="11">
        <v>0</v>
      </c>
      <c r="J15" s="8" t="s">
        <v>137</v>
      </c>
      <c r="K15" s="8" t="s">
        <v>61</v>
      </c>
      <c r="L15" s="8" t="s">
        <v>62</v>
      </c>
      <c r="M15" s="8" t="s">
        <v>63</v>
      </c>
      <c r="N15" s="8" t="s">
        <v>64</v>
      </c>
      <c r="O15" s="8" t="s">
        <v>138</v>
      </c>
      <c r="P15" s="9"/>
    </row>
    <row r="16" spans="1:16" ht="15">
      <c r="A16" s="8" t="s">
        <v>139</v>
      </c>
      <c r="B16" s="8" t="s">
        <v>140</v>
      </c>
      <c r="C16" s="9" t="s">
        <v>141</v>
      </c>
      <c r="D16" s="9" t="s">
        <v>142</v>
      </c>
      <c r="E16" s="8" t="s">
        <v>59</v>
      </c>
      <c r="F16" s="8" t="s">
        <v>107</v>
      </c>
      <c r="G16" s="10">
        <v>46356</v>
      </c>
      <c r="H16" s="10">
        <v>46381</v>
      </c>
      <c r="I16" s="11">
        <v>0</v>
      </c>
      <c r="J16" s="8" t="s">
        <v>120</v>
      </c>
      <c r="K16" s="8" t="s">
        <v>71</v>
      </c>
      <c r="L16" s="8" t="s">
        <v>62</v>
      </c>
      <c r="M16" s="8" t="s">
        <v>63</v>
      </c>
      <c r="N16" s="8" t="s">
        <v>62</v>
      </c>
      <c r="O16" s="8" t="s">
        <v>143</v>
      </c>
      <c r="P16" s="9" t="s">
        <v>49</v>
      </c>
    </row>
    <row r="17" spans="1:16" ht="15">
      <c r="A17" s="8" t="s">
        <v>144</v>
      </c>
      <c r="B17" s="8" t="s">
        <v>140</v>
      </c>
      <c r="C17" s="9" t="s">
        <v>145</v>
      </c>
      <c r="D17" s="9" t="s">
        <v>146</v>
      </c>
      <c r="E17" s="8" t="s">
        <v>132</v>
      </c>
      <c r="F17" s="8" t="s">
        <v>103</v>
      </c>
      <c r="G17" s="10">
        <v>46377</v>
      </c>
      <c r="H17" s="10">
        <v>46387</v>
      </c>
      <c r="I17" s="11">
        <v>0</v>
      </c>
      <c r="J17" s="8" t="s">
        <v>147</v>
      </c>
      <c r="K17" s="8" t="s">
        <v>61</v>
      </c>
      <c r="L17" s="8" t="s">
        <v>64</v>
      </c>
      <c r="M17" s="8" t="s">
        <v>63</v>
      </c>
      <c r="N17" s="8" t="s">
        <v>64</v>
      </c>
      <c r="O17" s="8" t="s">
        <v>148</v>
      </c>
      <c r="P17" s="9"/>
    </row>
  </sheetData>
  <phoneticPr fontId="10" type="noConversion"/>
  <conditionalFormatting sqref="I2:I500">
    <cfRule type="dataBar" priority="1">
      <dataBar>
        <cfvo type="min"/>
        <cfvo type="max"/>
        <color rgb="FF2563EB"/>
      </dataBar>
    </cfRule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{6456C407-4193-AE0B-C475-1E7B119EAD15}</x14:id>
        </ext>
      </extLst>
    </cfRule>
  </conditionalFormatting>
  <dataValidations count="6">
    <dataValidation type="list" sqref="B2:B500" xr:uid="{00000000-0002-0000-0200-000000000000}">
      <formula1>"概念与需求,产品设计,工程设计,样机与测试,开模与试产,认证与量产"</formula1>
    </dataValidation>
    <dataValidation type="list" sqref="E2:E500" xr:uid="{00000000-0002-0000-0200-000001000000}">
      <formula1>"王强,李敏,陈晨,张涛,刘洋,赵磊,周芳,孙立"</formula1>
    </dataValidation>
    <dataValidation type="list" sqref="F2:F500" xr:uid="{00000000-0002-0000-0200-000002000000}">
      <formula1>"工业设计,结构,电控,软件,供应链,品质,市场"</formula1>
    </dataValidation>
    <dataValidation type="list" sqref="K2:K500" xr:uid="{00000000-0002-0000-0200-000003000000}">
      <formula1>"是,否"</formula1>
    </dataValidation>
    <dataValidation type="list" sqref="L2:L500 N2:N500" xr:uid="{00000000-0002-0000-0200-000004000000}">
      <formula1>"高,中,低"</formula1>
    </dataValidation>
    <dataValidation type="list" sqref="M2:M500" xr:uid="{00000000-0002-0000-0200-000005000000}">
      <formula1>"未开始,进行中,待评审,已完成,阻塞"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56C407-4193-AE0B-C475-1E7B119EAD15}">
            <x14:dataBar>
              <x14:cfvo type="min"/>
              <x14:cfvo type="max"/>
              <x14:negativeFillColor auto="1"/>
              <x14:axisColor auto="1"/>
            </x14:dataBar>
          </x14:cfRule>
          <xm:sqref>I2:I500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9"/>
  <sheetViews>
    <sheetView showGridLines="0" workbookViewId="0">
      <selection sqref="A1:B1"/>
    </sheetView>
  </sheetViews>
  <sheetFormatPr baseColWidth="10" defaultColWidth="8.83203125" defaultRowHeight="14"/>
  <cols>
    <col min="1" max="1" width="18" customWidth="1"/>
    <col min="2" max="2" width="26" customWidth="1"/>
  </cols>
  <sheetData>
    <row r="1" spans="1:2" ht="30" customHeight="1">
      <c r="A1" s="23" t="s">
        <v>149</v>
      </c>
      <c r="B1" s="23" t="s">
        <v>149</v>
      </c>
    </row>
    <row r="2" spans="1:2" ht="15">
      <c r="A2" s="12" t="s">
        <v>150</v>
      </c>
      <c r="B2" s="12" t="s">
        <v>151</v>
      </c>
    </row>
    <row r="3" spans="1:2">
      <c r="A3" s="2" t="s">
        <v>40</v>
      </c>
      <c r="B3" s="2" t="s">
        <v>56</v>
      </c>
    </row>
    <row r="4" spans="1:2">
      <c r="A4" s="2" t="s">
        <v>40</v>
      </c>
      <c r="B4" s="2" t="s">
        <v>75</v>
      </c>
    </row>
    <row r="5" spans="1:2">
      <c r="A5" s="2" t="s">
        <v>40</v>
      </c>
      <c r="B5" s="2" t="s">
        <v>93</v>
      </c>
    </row>
    <row r="6" spans="1:2">
      <c r="A6" s="2" t="s">
        <v>40</v>
      </c>
      <c r="B6" s="2" t="s">
        <v>112</v>
      </c>
    </row>
    <row r="7" spans="1:2">
      <c r="A7" s="2" t="s">
        <v>40</v>
      </c>
      <c r="B7" s="2" t="s">
        <v>125</v>
      </c>
    </row>
    <row r="8" spans="1:2">
      <c r="A8" s="2" t="s">
        <v>40</v>
      </c>
      <c r="B8" s="2" t="s">
        <v>140</v>
      </c>
    </row>
    <row r="9" spans="1:2">
      <c r="A9" s="2" t="s">
        <v>43</v>
      </c>
      <c r="B9" s="2" t="s">
        <v>59</v>
      </c>
    </row>
    <row r="10" spans="1:2">
      <c r="A10" s="2" t="s">
        <v>43</v>
      </c>
      <c r="B10" s="2" t="s">
        <v>70</v>
      </c>
    </row>
    <row r="11" spans="1:2">
      <c r="A11" s="2" t="s">
        <v>43</v>
      </c>
      <c r="B11" s="2" t="s">
        <v>78</v>
      </c>
    </row>
    <row r="12" spans="1:2">
      <c r="A12" s="2" t="s">
        <v>43</v>
      </c>
      <c r="B12" s="2" t="s">
        <v>83</v>
      </c>
    </row>
    <row r="13" spans="1:2">
      <c r="A13" s="2" t="s">
        <v>43</v>
      </c>
      <c r="B13" s="2" t="s">
        <v>89</v>
      </c>
    </row>
    <row r="14" spans="1:2">
      <c r="A14" s="2" t="s">
        <v>43</v>
      </c>
      <c r="B14" s="2" t="s">
        <v>96</v>
      </c>
    </row>
    <row r="15" spans="1:2">
      <c r="A15" s="2" t="s">
        <v>43</v>
      </c>
      <c r="B15" s="2" t="s">
        <v>102</v>
      </c>
    </row>
    <row r="16" spans="1:2">
      <c r="A16" s="2" t="s">
        <v>43</v>
      </c>
      <c r="B16" s="2" t="s">
        <v>132</v>
      </c>
    </row>
    <row r="17" spans="1:2">
      <c r="A17" s="2" t="s">
        <v>44</v>
      </c>
      <c r="B17" s="2" t="s">
        <v>76</v>
      </c>
    </row>
    <row r="18" spans="1:2">
      <c r="A18" s="2" t="s">
        <v>44</v>
      </c>
      <c r="B18" s="2" t="s">
        <v>84</v>
      </c>
    </row>
    <row r="19" spans="1:2">
      <c r="A19" s="2" t="s">
        <v>44</v>
      </c>
      <c r="B19" s="2" t="s">
        <v>90</v>
      </c>
    </row>
    <row r="20" spans="1:2">
      <c r="A20" s="2" t="s">
        <v>44</v>
      </c>
      <c r="B20" s="2" t="s">
        <v>97</v>
      </c>
    </row>
    <row r="21" spans="1:2">
      <c r="A21" s="2" t="s">
        <v>44</v>
      </c>
      <c r="B21" s="2" t="s">
        <v>103</v>
      </c>
    </row>
    <row r="22" spans="1:2">
      <c r="A22" s="2" t="s">
        <v>44</v>
      </c>
      <c r="B22" s="2" t="s">
        <v>107</v>
      </c>
    </row>
    <row r="23" spans="1:2">
      <c r="A23" s="2" t="s">
        <v>44</v>
      </c>
      <c r="B23" s="2" t="s">
        <v>60</v>
      </c>
    </row>
    <row r="24" spans="1:2">
      <c r="A24" s="2" t="s">
        <v>49</v>
      </c>
      <c r="B24" s="2" t="s">
        <v>71</v>
      </c>
    </row>
    <row r="25" spans="1:2">
      <c r="A25" s="2" t="s">
        <v>49</v>
      </c>
      <c r="B25" s="2" t="s">
        <v>61</v>
      </c>
    </row>
    <row r="26" spans="1:2">
      <c r="A26" s="2" t="s">
        <v>50</v>
      </c>
      <c r="B26" s="2" t="s">
        <v>62</v>
      </c>
    </row>
    <row r="27" spans="1:2">
      <c r="A27" s="2" t="s">
        <v>50</v>
      </c>
      <c r="B27" s="2" t="s">
        <v>64</v>
      </c>
    </row>
    <row r="28" spans="1:2">
      <c r="A28" s="2" t="s">
        <v>50</v>
      </c>
      <c r="B28" s="2" t="s">
        <v>72</v>
      </c>
    </row>
    <row r="29" spans="1:2">
      <c r="A29" s="2" t="s">
        <v>51</v>
      </c>
      <c r="B29" s="2" t="s">
        <v>63</v>
      </c>
    </row>
    <row r="30" spans="1:2">
      <c r="A30" s="2" t="s">
        <v>51</v>
      </c>
      <c r="B30" s="2" t="s">
        <v>152</v>
      </c>
    </row>
    <row r="31" spans="1:2">
      <c r="A31" s="2" t="s">
        <v>51</v>
      </c>
      <c r="B31" s="2" t="s">
        <v>153</v>
      </c>
    </row>
    <row r="32" spans="1:2">
      <c r="A32" s="2" t="s">
        <v>51</v>
      </c>
      <c r="B32" s="2" t="s">
        <v>154</v>
      </c>
    </row>
    <row r="33" spans="1:2">
      <c r="A33" s="2" t="s">
        <v>51</v>
      </c>
      <c r="B33" s="2" t="s">
        <v>155</v>
      </c>
    </row>
    <row r="34" spans="1:2">
      <c r="A34" s="2" t="s">
        <v>52</v>
      </c>
      <c r="B34" s="2" t="s">
        <v>62</v>
      </c>
    </row>
    <row r="35" spans="1:2">
      <c r="A35" s="2" t="s">
        <v>52</v>
      </c>
      <c r="B35" s="2" t="s">
        <v>64</v>
      </c>
    </row>
    <row r="36" spans="1:2">
      <c r="A36" s="2" t="s">
        <v>52</v>
      </c>
      <c r="B36" s="2" t="s">
        <v>72</v>
      </c>
    </row>
    <row r="38" spans="1:2" ht="40" customHeight="1">
      <c r="A38" s="25" t="s">
        <v>156</v>
      </c>
      <c r="B38" s="25" t="s">
        <v>156</v>
      </c>
    </row>
    <row r="39" spans="1:2" ht="40" customHeight="1">
      <c r="A39" s="25" t="s">
        <v>156</v>
      </c>
      <c r="B39" s="25" t="s">
        <v>156</v>
      </c>
    </row>
  </sheetData>
  <mergeCells count="2">
    <mergeCell ref="A1:B1"/>
    <mergeCell ref="A38:B39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0"/>
  <sheetViews>
    <sheetView showGridLines="0" workbookViewId="0">
      <selection sqref="A1:H1"/>
    </sheetView>
  </sheetViews>
  <sheetFormatPr baseColWidth="10" defaultColWidth="8.83203125" defaultRowHeight="14"/>
  <cols>
    <col min="1" max="1" width="12" customWidth="1"/>
    <col min="2" max="2" width="14" customWidth="1"/>
    <col min="3" max="3" width="40" customWidth="1"/>
    <col min="4" max="4" width="12" customWidth="1"/>
    <col min="5" max="6" width="10" customWidth="1"/>
    <col min="7" max="7" width="18" customWidth="1"/>
    <col min="8" max="9" width="10" customWidth="1"/>
  </cols>
  <sheetData>
    <row r="1" spans="1:8" ht="30" customHeight="1">
      <c r="A1" s="23" t="s">
        <v>157</v>
      </c>
      <c r="B1" s="23" t="s">
        <v>157</v>
      </c>
      <c r="C1" s="23" t="s">
        <v>157</v>
      </c>
      <c r="D1" s="23" t="s">
        <v>157</v>
      </c>
      <c r="E1" s="23" t="s">
        <v>157</v>
      </c>
      <c r="F1" s="23" t="s">
        <v>157</v>
      </c>
      <c r="G1" s="23" t="s">
        <v>157</v>
      </c>
      <c r="H1" s="23" t="s">
        <v>157</v>
      </c>
    </row>
    <row r="2" spans="1:8" ht="28" customHeight="1">
      <c r="A2" s="26" t="s">
        <v>158</v>
      </c>
      <c r="B2" s="26" t="s">
        <v>158</v>
      </c>
      <c r="C2" s="26" t="s">
        <v>158</v>
      </c>
      <c r="D2" s="26" t="s">
        <v>158</v>
      </c>
      <c r="E2" s="26" t="s">
        <v>158</v>
      </c>
      <c r="F2" s="26" t="s">
        <v>158</v>
      </c>
      <c r="G2" s="26" t="s">
        <v>158</v>
      </c>
      <c r="H2" s="26" t="s">
        <v>158</v>
      </c>
    </row>
    <row r="4" spans="1:8" ht="24" customHeight="1">
      <c r="A4" s="19" t="s">
        <v>159</v>
      </c>
      <c r="B4" s="19" t="s">
        <v>159</v>
      </c>
      <c r="C4" s="19" t="s">
        <v>159</v>
      </c>
      <c r="D4" s="19" t="s">
        <v>159</v>
      </c>
      <c r="E4" s="19" t="s">
        <v>159</v>
      </c>
      <c r="F4" s="19" t="s">
        <v>159</v>
      </c>
    </row>
    <row r="5" spans="1:8" ht="15">
      <c r="A5" s="12" t="s">
        <v>160</v>
      </c>
      <c r="B5" s="12" t="s">
        <v>161</v>
      </c>
      <c r="C5" s="12" t="s">
        <v>162</v>
      </c>
    </row>
    <row r="6" spans="1:8" ht="15">
      <c r="A6" s="13" t="s">
        <v>163</v>
      </c>
      <c r="B6" s="14">
        <f>COUNTA(任务!A2:A301)</f>
        <v>16</v>
      </c>
      <c r="C6" s="7" t="s">
        <v>164</v>
      </c>
    </row>
    <row r="7" spans="1:8" ht="15">
      <c r="A7" s="13" t="s">
        <v>165</v>
      </c>
      <c r="B7" s="14">
        <f>SUMPRODUCT((任务!A2:A301&lt;&gt;"")*(COUNTIF(任务!A2:A301,任务!A2:A301)&gt;1))</f>
        <v>0</v>
      </c>
      <c r="C7" s="7" t="s">
        <v>166</v>
      </c>
    </row>
    <row r="8" spans="1:8" ht="15">
      <c r="A8" s="13" t="s">
        <v>167</v>
      </c>
      <c r="B8" s="14">
        <f>SUMPRODUCT((((任务!A2:A301&lt;&gt;"")+(任务!B2:B301&lt;&gt;"")+(任务!C2:C301&lt;&gt;"")+(任务!D2:D301&lt;&gt;""))&gt;0)*(任务!A2:A301=""))</f>
        <v>0</v>
      </c>
      <c r="C8" s="7" t="s">
        <v>168</v>
      </c>
    </row>
    <row r="9" spans="1:8" ht="15">
      <c r="A9" s="13" t="s">
        <v>169</v>
      </c>
      <c r="B9" s="14">
        <f>SUMPRODUCT((((任务!A2:A301&lt;&gt;"")+(任务!B2:B301&lt;&gt;"")+(任务!C2:C301&lt;&gt;"")+(任务!D2:D301&lt;&gt;""))&gt;0)*(任务!B2:B301=""))</f>
        <v>0</v>
      </c>
      <c r="C9" s="7" t="s">
        <v>170</v>
      </c>
    </row>
    <row r="10" spans="1:8" ht="15">
      <c r="A10" s="13" t="s">
        <v>171</v>
      </c>
      <c r="B10" s="14">
        <f>SUMPRODUCT((((任务!A2:A301&lt;&gt;"")+(任务!B2:B301&lt;&gt;"")+(任务!C2:C301&lt;&gt;"")+(任务!D2:D301&lt;&gt;""))&gt;0)*(任务!C2:C301=""))</f>
        <v>0</v>
      </c>
      <c r="C10" s="7" t="s">
        <v>172</v>
      </c>
    </row>
    <row r="11" spans="1:8" ht="15">
      <c r="A11" s="13" t="s">
        <v>173</v>
      </c>
      <c r="B11" s="14">
        <f>SUMPRODUCT((((任务!A2:A301&lt;&gt;"")+(任务!B2:B301&lt;&gt;"")+(任务!C2:C301&lt;&gt;"")+(任务!D2:D301&lt;&gt;""))&gt;0)*(任务!E2:E301=""))</f>
        <v>0</v>
      </c>
      <c r="C11" s="7" t="s">
        <v>174</v>
      </c>
    </row>
    <row r="12" spans="1:8" ht="15">
      <c r="A12" s="13" t="s">
        <v>175</v>
      </c>
      <c r="B12" s="14">
        <f>SUMPRODUCT((((任务!A2:A301&lt;&gt;"")+(任务!B2:B301&lt;&gt;"")+(任务!C2:C301&lt;&gt;"")+(任务!D2:D301&lt;&gt;""))&gt;0)*(任务!G2:G301=""))</f>
        <v>0</v>
      </c>
      <c r="C12" s="7" t="s">
        <v>176</v>
      </c>
    </row>
    <row r="13" spans="1:8" ht="15">
      <c r="A13" s="13" t="s">
        <v>177</v>
      </c>
      <c r="B13" s="14">
        <f>SUMPRODUCT((((任务!A2:A301&lt;&gt;"")+(任务!B2:B301&lt;&gt;"")+(任务!C2:C301&lt;&gt;"")+(任务!D2:D301&lt;&gt;""))&gt;0)*(任务!H2:H301=""))</f>
        <v>0</v>
      </c>
      <c r="C13" s="7" t="s">
        <v>178</v>
      </c>
    </row>
    <row r="14" spans="1:8" ht="15">
      <c r="A14" s="13" t="s">
        <v>179</v>
      </c>
      <c r="B14" s="14">
        <f ca="1">SUM(I21:I320)</f>
        <v>0</v>
      </c>
      <c r="C14" s="7" t="s">
        <v>180</v>
      </c>
    </row>
    <row r="15" spans="1:8" ht="15">
      <c r="A15" s="13" t="s">
        <v>181</v>
      </c>
      <c r="B15" s="14">
        <f>SUMPRODUCT((任务!A2:A301&lt;&gt;"")*(任务!G2:G301&lt;&gt;"")*(任务!H2:H301&lt;&gt;"")*(任务!G2:G301&gt;任务!H2:H301))</f>
        <v>0</v>
      </c>
      <c r="C15" s="7" t="s">
        <v>182</v>
      </c>
    </row>
    <row r="16" spans="1:8" ht="15">
      <c r="A16" s="13" t="s">
        <v>183</v>
      </c>
      <c r="B16" s="14">
        <f>SUMPRODUCT((任务!A2:A301&lt;&gt;"")*((任务!I2:I301&lt;0)+(任务!I2:I301&gt;100)))</f>
        <v>0</v>
      </c>
      <c r="C16" s="7" t="s">
        <v>184</v>
      </c>
    </row>
    <row r="17" spans="1:9" ht="24" customHeight="1">
      <c r="A17" s="27" t="s">
        <v>185</v>
      </c>
      <c r="B17" s="27" t="s">
        <v>185</v>
      </c>
      <c r="C17" s="27" t="s">
        <v>185</v>
      </c>
      <c r="D17" s="27" t="s">
        <v>185</v>
      </c>
      <c r="E17" s="27" t="s">
        <v>185</v>
      </c>
      <c r="F17" s="27" t="s">
        <v>185</v>
      </c>
      <c r="G17" s="27" t="s">
        <v>185</v>
      </c>
      <c r="H17" s="27" t="s">
        <v>185</v>
      </c>
    </row>
    <row r="19" spans="1:9" ht="24" customHeight="1">
      <c r="A19" s="19" t="s">
        <v>186</v>
      </c>
      <c r="B19" s="19" t="s">
        <v>186</v>
      </c>
      <c r="C19" s="19" t="s">
        <v>186</v>
      </c>
      <c r="D19" s="19" t="s">
        <v>186</v>
      </c>
      <c r="E19" s="19" t="s">
        <v>186</v>
      </c>
      <c r="F19" s="19" t="s">
        <v>186</v>
      </c>
      <c r="G19" s="19" t="s">
        <v>186</v>
      </c>
      <c r="H19" s="19" t="s">
        <v>186</v>
      </c>
    </row>
    <row r="20" spans="1:9" ht="15">
      <c r="A20" s="12" t="s">
        <v>187</v>
      </c>
      <c r="B20" s="12" t="s">
        <v>39</v>
      </c>
      <c r="C20" s="12" t="s">
        <v>188</v>
      </c>
      <c r="D20" s="12" t="s">
        <v>189</v>
      </c>
      <c r="E20" s="12" t="s">
        <v>190</v>
      </c>
      <c r="F20" s="12" t="s">
        <v>191</v>
      </c>
      <c r="G20" s="12" t="s">
        <v>192</v>
      </c>
      <c r="H20" s="12" t="s">
        <v>193</v>
      </c>
      <c r="I20" s="6" t="s">
        <v>194</v>
      </c>
    </row>
    <row r="21" spans="1:9">
      <c r="A21" s="15">
        <f t="shared" ref="A21:A84" si="0">ROW()-19</f>
        <v>2</v>
      </c>
      <c r="B21" s="16" t="str">
        <f>IF(任务!A2="","",任务!A2)</f>
        <v>T001</v>
      </c>
      <c r="C21" s="17">
        <f>IF($B21="",0,--(COUNTIF(任务!$A$2:$A$301,$B21)&gt;1))</f>
        <v>0</v>
      </c>
      <c r="D21" s="17">
        <f>IF($B21="",0,--(OR(任务!B2="",任务!C2="",任务!E2="",任务!G2="",任务!H2="",NOT(ISNUMBER(任务!I2)))))</f>
        <v>0</v>
      </c>
      <c r="E21" s="17">
        <f>IF($B21="",0,--(AND(任务!G2&lt;&gt;"",任务!H2&lt;&gt;"",任务!G2&gt;任务!H2)))</f>
        <v>0</v>
      </c>
      <c r="F21" s="17">
        <f>IF($B21="",0,--(OR(任务!I2&lt;0,任务!I2&gt;100)))</f>
        <v>0</v>
      </c>
      <c r="G21" s="17">
        <f>IF($B21="",0,IF(ISNUMBER(SEARCH(",",任务!J2)),0,IF(任务!J2="",0,--(COUNTIF(任务!$A$2:$A$301,TRIM(任务!J2))=0))))</f>
        <v>0</v>
      </c>
      <c r="H21" s="17">
        <f>IF($B21="",0,--(NOT(ISNUMBER(任务!I2))))</f>
        <v>0</v>
      </c>
      <c r="I21" s="17">
        <f t="shared" ref="I21:I84" ca="1" si="1">IF($B21="",0,C21+D21+E21+F21+G21+I21)</f>
        <v>0</v>
      </c>
    </row>
    <row r="22" spans="1:9">
      <c r="A22" s="15">
        <f t="shared" si="0"/>
        <v>3</v>
      </c>
      <c r="B22" s="16" t="str">
        <f>IF(任务!A3="","",任务!A3)</f>
        <v>T002</v>
      </c>
      <c r="C22" s="17">
        <f>IF($B22="",0,--(COUNTIF(任务!$A$2:$A$301,$B22)&gt;1))</f>
        <v>0</v>
      </c>
      <c r="D22" s="17">
        <f>IF($B22="",0,--(OR(任务!B3="",任务!C3="",任务!E3="",任务!G3="",任务!H3="",NOT(ISNUMBER(任务!I3)))))</f>
        <v>0</v>
      </c>
      <c r="E22" s="17">
        <f>IF($B22="",0,--(AND(任务!G3&lt;&gt;"",任务!H3&lt;&gt;"",任务!G3&gt;任务!H3)))</f>
        <v>0</v>
      </c>
      <c r="F22" s="17">
        <f>IF($B22="",0,--(OR(任务!I3&lt;0,任务!I3&gt;100)))</f>
        <v>0</v>
      </c>
      <c r="G22" s="17">
        <f>IF($B22="",0,IF(ISNUMBER(SEARCH(",",任务!J3)),0,IF(任务!J3="",0,--(COUNTIF(任务!$A$2:$A$301,TRIM(任务!J3))=0))))</f>
        <v>0</v>
      </c>
      <c r="H22" s="17">
        <f>IF($B22="",0,--(NOT(ISNUMBER(任务!I3))))</f>
        <v>0</v>
      </c>
      <c r="I22" s="17">
        <f t="shared" ca="1" si="1"/>
        <v>0</v>
      </c>
    </row>
    <row r="23" spans="1:9">
      <c r="A23" s="15">
        <f t="shared" si="0"/>
        <v>4</v>
      </c>
      <c r="B23" s="16" t="str">
        <f>IF(任务!A4="","",任务!A4)</f>
        <v>T003</v>
      </c>
      <c r="C23" s="17">
        <f>IF($B23="",0,--(COUNTIF(任务!$A$2:$A$301,$B23)&gt;1))</f>
        <v>0</v>
      </c>
      <c r="D23" s="17">
        <f>IF($B23="",0,--(OR(任务!B4="",任务!C4="",任务!E4="",任务!G4="",任务!H4="",NOT(ISNUMBER(任务!I4)))))</f>
        <v>0</v>
      </c>
      <c r="E23" s="17">
        <f>IF($B23="",0,--(AND(任务!G4&lt;&gt;"",任务!H4&lt;&gt;"",任务!G4&gt;任务!H4)))</f>
        <v>0</v>
      </c>
      <c r="F23" s="17">
        <f>IF($B23="",0,--(OR(任务!I4&lt;0,任务!I4&gt;100)))</f>
        <v>0</v>
      </c>
      <c r="G23" s="17">
        <f>IF($B23="",0,IF(ISNUMBER(SEARCH(",",任务!J4)),0,IF(任务!J4="",0,--(COUNTIF(任务!$A$2:$A$301,TRIM(任务!J4))=0))))</f>
        <v>0</v>
      </c>
      <c r="H23" s="17">
        <f>IF($B23="",0,--(NOT(ISNUMBER(任务!I4))))</f>
        <v>0</v>
      </c>
      <c r="I23" s="17">
        <f t="shared" ca="1" si="1"/>
        <v>0</v>
      </c>
    </row>
    <row r="24" spans="1:9">
      <c r="A24" s="15">
        <f t="shared" si="0"/>
        <v>5</v>
      </c>
      <c r="B24" s="16" t="str">
        <f>IF(任务!A5="","",任务!A5)</f>
        <v>T004</v>
      </c>
      <c r="C24" s="17">
        <f>IF($B24="",0,--(COUNTIF(任务!$A$2:$A$301,$B24)&gt;1))</f>
        <v>0</v>
      </c>
      <c r="D24" s="17">
        <f>IF($B24="",0,--(OR(任务!B5="",任务!C5="",任务!E5="",任务!G5="",任务!H5="",NOT(ISNUMBER(任务!I5)))))</f>
        <v>0</v>
      </c>
      <c r="E24" s="17">
        <f>IF($B24="",0,--(AND(任务!G5&lt;&gt;"",任务!H5&lt;&gt;"",任务!G5&gt;任务!H5)))</f>
        <v>0</v>
      </c>
      <c r="F24" s="17">
        <f>IF($B24="",0,--(OR(任务!I5&lt;0,任务!I5&gt;100)))</f>
        <v>0</v>
      </c>
      <c r="G24" s="17">
        <f>IF($B24="",0,IF(ISNUMBER(SEARCH(",",任务!J5)),0,IF(任务!J5="",0,--(COUNTIF(任务!$A$2:$A$301,TRIM(任务!J5))=0))))</f>
        <v>0</v>
      </c>
      <c r="H24" s="17">
        <f>IF($B24="",0,--(NOT(ISNUMBER(任务!I5))))</f>
        <v>0</v>
      </c>
      <c r="I24" s="17">
        <f t="shared" ca="1" si="1"/>
        <v>0</v>
      </c>
    </row>
    <row r="25" spans="1:9">
      <c r="A25" s="15">
        <f t="shared" si="0"/>
        <v>6</v>
      </c>
      <c r="B25" s="16" t="str">
        <f>IF(任务!A6="","",任务!A6)</f>
        <v>T005</v>
      </c>
      <c r="C25" s="17">
        <f>IF($B25="",0,--(COUNTIF(任务!$A$2:$A$301,$B25)&gt;1))</f>
        <v>0</v>
      </c>
      <c r="D25" s="17">
        <f>IF($B25="",0,--(OR(任务!B6="",任务!C6="",任务!E6="",任务!G6="",任务!H6="",NOT(ISNUMBER(任务!I6)))))</f>
        <v>0</v>
      </c>
      <c r="E25" s="17">
        <f>IF($B25="",0,--(AND(任务!G6&lt;&gt;"",任务!H6&lt;&gt;"",任务!G6&gt;任务!H6)))</f>
        <v>0</v>
      </c>
      <c r="F25" s="17">
        <f>IF($B25="",0,--(OR(任务!I6&lt;0,任务!I6&gt;100)))</f>
        <v>0</v>
      </c>
      <c r="G25" s="17">
        <f>IF($B25="",0,IF(ISNUMBER(SEARCH(",",任务!J6)),0,IF(任务!J6="",0,--(COUNTIF(任务!$A$2:$A$301,TRIM(任务!J6))=0))))</f>
        <v>0</v>
      </c>
      <c r="H25" s="17">
        <f>IF($B25="",0,--(NOT(ISNUMBER(任务!I6))))</f>
        <v>0</v>
      </c>
      <c r="I25" s="17">
        <f t="shared" ca="1" si="1"/>
        <v>0</v>
      </c>
    </row>
    <row r="26" spans="1:9">
      <c r="A26" s="15">
        <f t="shared" si="0"/>
        <v>7</v>
      </c>
      <c r="B26" s="16" t="str">
        <f>IF(任务!A7="","",任务!A7)</f>
        <v>T006</v>
      </c>
      <c r="C26" s="17">
        <f>IF($B26="",0,--(COUNTIF(任务!$A$2:$A$301,$B26)&gt;1))</f>
        <v>0</v>
      </c>
      <c r="D26" s="17">
        <f>IF($B26="",0,--(OR(任务!B7="",任务!C7="",任务!E7="",任务!G7="",任务!H7="",NOT(ISNUMBER(任务!I7)))))</f>
        <v>0</v>
      </c>
      <c r="E26" s="17">
        <f>IF($B26="",0,--(AND(任务!G7&lt;&gt;"",任务!H7&lt;&gt;"",任务!G7&gt;任务!H7)))</f>
        <v>0</v>
      </c>
      <c r="F26" s="17">
        <f>IF($B26="",0,--(OR(任务!I7&lt;0,任务!I7&gt;100)))</f>
        <v>0</v>
      </c>
      <c r="G26" s="17">
        <f>IF($B26="",0,IF(ISNUMBER(SEARCH(",",任务!J7)),0,IF(任务!J7="",0,--(COUNTIF(任务!$A$2:$A$301,TRIM(任务!J7))=0))))</f>
        <v>0</v>
      </c>
      <c r="H26" s="17">
        <f>IF($B26="",0,--(NOT(ISNUMBER(任务!I7))))</f>
        <v>0</v>
      </c>
      <c r="I26" s="17">
        <f t="shared" ca="1" si="1"/>
        <v>0</v>
      </c>
    </row>
    <row r="27" spans="1:9">
      <c r="A27" s="15">
        <f t="shared" si="0"/>
        <v>8</v>
      </c>
      <c r="B27" s="16" t="str">
        <f>IF(任务!A8="","",任务!A8)</f>
        <v>T007</v>
      </c>
      <c r="C27" s="17">
        <f>IF($B27="",0,--(COUNTIF(任务!$A$2:$A$301,$B27)&gt;1))</f>
        <v>0</v>
      </c>
      <c r="D27" s="17">
        <f>IF($B27="",0,--(OR(任务!B8="",任务!C8="",任务!E8="",任务!G8="",任务!H8="",NOT(ISNUMBER(任务!I8)))))</f>
        <v>0</v>
      </c>
      <c r="E27" s="17">
        <f>IF($B27="",0,--(AND(任务!G8&lt;&gt;"",任务!H8&lt;&gt;"",任务!G8&gt;任务!H8)))</f>
        <v>0</v>
      </c>
      <c r="F27" s="17">
        <f>IF($B27="",0,--(OR(任务!I8&lt;0,任务!I8&gt;100)))</f>
        <v>0</v>
      </c>
      <c r="G27" s="17">
        <f>IF($B27="",0,IF(ISNUMBER(SEARCH(",",任务!J8)),0,IF(任务!J8="",0,--(COUNTIF(任务!$A$2:$A$301,TRIM(任务!J8))=0))))</f>
        <v>0</v>
      </c>
      <c r="H27" s="17">
        <f>IF($B27="",0,--(NOT(ISNUMBER(任务!I8))))</f>
        <v>0</v>
      </c>
      <c r="I27" s="17">
        <f t="shared" ca="1" si="1"/>
        <v>0</v>
      </c>
    </row>
    <row r="28" spans="1:9">
      <c r="A28" s="15">
        <f t="shared" si="0"/>
        <v>9</v>
      </c>
      <c r="B28" s="16" t="str">
        <f>IF(任务!A9="","",任务!A9)</f>
        <v>T008</v>
      </c>
      <c r="C28" s="17">
        <f>IF($B28="",0,--(COUNTIF(任务!$A$2:$A$301,$B28)&gt;1))</f>
        <v>0</v>
      </c>
      <c r="D28" s="17">
        <f>IF($B28="",0,--(OR(任务!B9="",任务!C9="",任务!E9="",任务!G9="",任务!H9="",NOT(ISNUMBER(任务!I9)))))</f>
        <v>0</v>
      </c>
      <c r="E28" s="17">
        <f>IF($B28="",0,--(AND(任务!G9&lt;&gt;"",任务!H9&lt;&gt;"",任务!G9&gt;任务!H9)))</f>
        <v>0</v>
      </c>
      <c r="F28" s="17">
        <f>IF($B28="",0,--(OR(任务!I9&lt;0,任务!I9&gt;100)))</f>
        <v>0</v>
      </c>
      <c r="G28" s="17">
        <f>IF($B28="",0,IF(ISNUMBER(SEARCH(",",任务!J9)),0,IF(任务!J9="",0,--(COUNTIF(任务!$A$2:$A$301,TRIM(任务!J9))=0))))</f>
        <v>0</v>
      </c>
      <c r="H28" s="17">
        <f>IF($B28="",0,--(NOT(ISNUMBER(任务!I9))))</f>
        <v>0</v>
      </c>
      <c r="I28" s="17">
        <f t="shared" ca="1" si="1"/>
        <v>0</v>
      </c>
    </row>
    <row r="29" spans="1:9">
      <c r="A29" s="15">
        <f t="shared" si="0"/>
        <v>10</v>
      </c>
      <c r="B29" s="16" t="str">
        <f>IF(任务!A10="","",任务!A10)</f>
        <v>T009</v>
      </c>
      <c r="C29" s="17">
        <f>IF($B29="",0,--(COUNTIF(任务!$A$2:$A$301,$B29)&gt;1))</f>
        <v>0</v>
      </c>
      <c r="D29" s="17">
        <f>IF($B29="",0,--(OR(任务!B10="",任务!C10="",任务!E10="",任务!G10="",任务!H10="",NOT(ISNUMBER(任务!I10)))))</f>
        <v>0</v>
      </c>
      <c r="E29" s="17">
        <f>IF($B29="",0,--(AND(任务!G10&lt;&gt;"",任务!H10&lt;&gt;"",任务!G10&gt;任务!H10)))</f>
        <v>0</v>
      </c>
      <c r="F29" s="17">
        <f>IF($B29="",0,--(OR(任务!I10&lt;0,任务!I10&gt;100)))</f>
        <v>0</v>
      </c>
      <c r="G29" s="17">
        <f>IF($B29="",0,IF(ISNUMBER(SEARCH(",",任务!J10)),0,IF(任务!J10="",0,--(COUNTIF(任务!$A$2:$A$301,TRIM(任务!J10))=0))))</f>
        <v>0</v>
      </c>
      <c r="H29" s="17">
        <f>IF($B29="",0,--(NOT(ISNUMBER(任务!I10))))</f>
        <v>0</v>
      </c>
      <c r="I29" s="17">
        <f t="shared" ca="1" si="1"/>
        <v>0</v>
      </c>
    </row>
    <row r="30" spans="1:9">
      <c r="A30" s="15">
        <f t="shared" si="0"/>
        <v>11</v>
      </c>
      <c r="B30" s="16" t="str">
        <f>IF(任务!A11="","",任务!A11)</f>
        <v>T010</v>
      </c>
      <c r="C30" s="17">
        <f>IF($B30="",0,--(COUNTIF(任务!$A$2:$A$301,$B30)&gt;1))</f>
        <v>0</v>
      </c>
      <c r="D30" s="17">
        <f>IF($B30="",0,--(OR(任务!B11="",任务!C11="",任务!E11="",任务!G11="",任务!H11="",NOT(ISNUMBER(任务!I11)))))</f>
        <v>0</v>
      </c>
      <c r="E30" s="17">
        <f>IF($B30="",0,--(AND(任务!G11&lt;&gt;"",任务!H11&lt;&gt;"",任务!G11&gt;任务!H11)))</f>
        <v>0</v>
      </c>
      <c r="F30" s="17">
        <f>IF($B30="",0,--(OR(任务!I11&lt;0,任务!I11&gt;100)))</f>
        <v>0</v>
      </c>
      <c r="G30" s="17">
        <f>IF($B30="",0,IF(ISNUMBER(SEARCH(",",任务!J11)),0,IF(任务!J11="",0,--(COUNTIF(任务!$A$2:$A$301,TRIM(任务!J11))=0))))</f>
        <v>0</v>
      </c>
      <c r="H30" s="17">
        <f>IF($B30="",0,--(NOT(ISNUMBER(任务!I11))))</f>
        <v>0</v>
      </c>
      <c r="I30" s="17">
        <f t="shared" ca="1" si="1"/>
        <v>0</v>
      </c>
    </row>
    <row r="31" spans="1:9">
      <c r="A31" s="15">
        <f t="shared" si="0"/>
        <v>12</v>
      </c>
      <c r="B31" s="16" t="str">
        <f>IF(任务!A12="","",任务!A12)</f>
        <v>T011</v>
      </c>
      <c r="C31" s="17">
        <f>IF($B31="",0,--(COUNTIF(任务!$A$2:$A$301,$B31)&gt;1))</f>
        <v>0</v>
      </c>
      <c r="D31" s="17">
        <f>IF($B31="",0,--(OR(任务!B12="",任务!C12="",任务!E12="",任务!G12="",任务!H12="",NOT(ISNUMBER(任务!I12)))))</f>
        <v>0</v>
      </c>
      <c r="E31" s="17">
        <f>IF($B31="",0,--(AND(任务!G12&lt;&gt;"",任务!H12&lt;&gt;"",任务!G12&gt;任务!H12)))</f>
        <v>0</v>
      </c>
      <c r="F31" s="17">
        <f>IF($B31="",0,--(OR(任务!I12&lt;0,任务!I12&gt;100)))</f>
        <v>0</v>
      </c>
      <c r="G31" s="17">
        <f>IF($B31="",0,IF(ISNUMBER(SEARCH(",",任务!J12)),0,IF(任务!J12="",0,--(COUNTIF(任务!$A$2:$A$301,TRIM(任务!J12))=0))))</f>
        <v>0</v>
      </c>
      <c r="H31" s="17">
        <f>IF($B31="",0,--(NOT(ISNUMBER(任务!I12))))</f>
        <v>0</v>
      </c>
      <c r="I31" s="17">
        <f t="shared" ca="1" si="1"/>
        <v>0</v>
      </c>
    </row>
    <row r="32" spans="1:9">
      <c r="A32" s="15">
        <f t="shared" si="0"/>
        <v>13</v>
      </c>
      <c r="B32" s="16" t="str">
        <f>IF(任务!A13="","",任务!A13)</f>
        <v>T012</v>
      </c>
      <c r="C32" s="17">
        <f>IF($B32="",0,--(COUNTIF(任务!$A$2:$A$301,$B32)&gt;1))</f>
        <v>0</v>
      </c>
      <c r="D32" s="17">
        <f>IF($B32="",0,--(OR(任务!B13="",任务!C13="",任务!E13="",任务!G13="",任务!H13="",NOT(ISNUMBER(任务!I13)))))</f>
        <v>0</v>
      </c>
      <c r="E32" s="17">
        <f>IF($B32="",0,--(AND(任务!G13&lt;&gt;"",任务!H13&lt;&gt;"",任务!G13&gt;任务!H13)))</f>
        <v>0</v>
      </c>
      <c r="F32" s="17">
        <f>IF($B32="",0,--(OR(任务!I13&lt;0,任务!I13&gt;100)))</f>
        <v>0</v>
      </c>
      <c r="G32" s="17">
        <f>IF($B32="",0,IF(ISNUMBER(SEARCH(",",任务!J13)),0,IF(任务!J13="",0,--(COUNTIF(任务!$A$2:$A$301,TRIM(任务!J13))=0))))</f>
        <v>0</v>
      </c>
      <c r="H32" s="17">
        <f>IF($B32="",0,--(NOT(ISNUMBER(任务!I13))))</f>
        <v>0</v>
      </c>
      <c r="I32" s="17">
        <f t="shared" ca="1" si="1"/>
        <v>0</v>
      </c>
    </row>
    <row r="33" spans="1:9">
      <c r="A33" s="15">
        <f t="shared" si="0"/>
        <v>14</v>
      </c>
      <c r="B33" s="16" t="str">
        <f>IF(任务!A14="","",任务!A14)</f>
        <v>T013</v>
      </c>
      <c r="C33" s="17">
        <f>IF($B33="",0,--(COUNTIF(任务!$A$2:$A$301,$B33)&gt;1))</f>
        <v>0</v>
      </c>
      <c r="D33" s="17">
        <f>IF($B33="",0,--(OR(任务!B14="",任务!C14="",任务!E14="",任务!G14="",任务!H14="",NOT(ISNUMBER(任务!I14)))))</f>
        <v>0</v>
      </c>
      <c r="E33" s="17">
        <f>IF($B33="",0,--(AND(任务!G14&lt;&gt;"",任务!H14&lt;&gt;"",任务!G14&gt;任务!H14)))</f>
        <v>0</v>
      </c>
      <c r="F33" s="17">
        <f>IF($B33="",0,--(OR(任务!I14&lt;0,任务!I14&gt;100)))</f>
        <v>0</v>
      </c>
      <c r="G33" s="17">
        <f>IF($B33="",0,IF(ISNUMBER(SEARCH(",",任务!J14)),0,IF(任务!J14="",0,--(COUNTIF(任务!$A$2:$A$301,TRIM(任务!J14))=0))))</f>
        <v>0</v>
      </c>
      <c r="H33" s="17">
        <f>IF($B33="",0,--(NOT(ISNUMBER(任务!I14))))</f>
        <v>0</v>
      </c>
      <c r="I33" s="17">
        <f t="shared" ca="1" si="1"/>
        <v>0</v>
      </c>
    </row>
    <row r="34" spans="1:9">
      <c r="A34" s="15">
        <f t="shared" si="0"/>
        <v>15</v>
      </c>
      <c r="B34" s="16" t="str">
        <f>IF(任务!A15="","",任务!A15)</f>
        <v>T014</v>
      </c>
      <c r="C34" s="17">
        <f>IF($B34="",0,--(COUNTIF(任务!$A$2:$A$301,$B34)&gt;1))</f>
        <v>0</v>
      </c>
      <c r="D34" s="17">
        <f>IF($B34="",0,--(OR(任务!B15="",任务!C15="",任务!E15="",任务!G15="",任务!H15="",NOT(ISNUMBER(任务!I15)))))</f>
        <v>0</v>
      </c>
      <c r="E34" s="17">
        <f>IF($B34="",0,--(AND(任务!G15&lt;&gt;"",任务!H15&lt;&gt;"",任务!G15&gt;任务!H15)))</f>
        <v>0</v>
      </c>
      <c r="F34" s="17">
        <f>IF($B34="",0,--(OR(任务!I15&lt;0,任务!I15&gt;100)))</f>
        <v>0</v>
      </c>
      <c r="G34" s="17">
        <f>IF($B34="",0,IF(ISNUMBER(SEARCH(",",任务!J15)),0,IF(任务!J15="",0,--(COUNTIF(任务!$A$2:$A$301,TRIM(任务!J15))=0))))</f>
        <v>0</v>
      </c>
      <c r="H34" s="17">
        <f>IF($B34="",0,--(NOT(ISNUMBER(任务!I15))))</f>
        <v>0</v>
      </c>
      <c r="I34" s="17">
        <f t="shared" ca="1" si="1"/>
        <v>0</v>
      </c>
    </row>
    <row r="35" spans="1:9">
      <c r="A35" s="15">
        <f t="shared" si="0"/>
        <v>16</v>
      </c>
      <c r="B35" s="16" t="str">
        <f>IF(任务!A16="","",任务!A16)</f>
        <v>T015</v>
      </c>
      <c r="C35" s="17">
        <f>IF($B35="",0,--(COUNTIF(任务!$A$2:$A$301,$B35)&gt;1))</f>
        <v>0</v>
      </c>
      <c r="D35" s="17">
        <f>IF($B35="",0,--(OR(任务!B16="",任务!C16="",任务!E16="",任务!G16="",任务!H16="",NOT(ISNUMBER(任务!I16)))))</f>
        <v>0</v>
      </c>
      <c r="E35" s="17">
        <f>IF($B35="",0,--(AND(任务!G16&lt;&gt;"",任务!H16&lt;&gt;"",任务!G16&gt;任务!H16)))</f>
        <v>0</v>
      </c>
      <c r="F35" s="17">
        <f>IF($B35="",0,--(OR(任务!I16&lt;0,任务!I16&gt;100)))</f>
        <v>0</v>
      </c>
      <c r="G35" s="17">
        <f>IF($B35="",0,IF(ISNUMBER(SEARCH(",",任务!J16)),0,IF(任务!J16="",0,--(COUNTIF(任务!$A$2:$A$301,TRIM(任务!J16))=0))))</f>
        <v>0</v>
      </c>
      <c r="H35" s="17">
        <f>IF($B35="",0,--(NOT(ISNUMBER(任务!I16))))</f>
        <v>0</v>
      </c>
      <c r="I35" s="17">
        <f t="shared" ca="1" si="1"/>
        <v>0</v>
      </c>
    </row>
    <row r="36" spans="1:9">
      <c r="A36" s="15">
        <f t="shared" si="0"/>
        <v>17</v>
      </c>
      <c r="B36" s="16" t="str">
        <f>IF(任务!A17="","",任务!A17)</f>
        <v>T016</v>
      </c>
      <c r="C36" s="17">
        <f>IF($B36="",0,--(COUNTIF(任务!$A$2:$A$301,$B36)&gt;1))</f>
        <v>0</v>
      </c>
      <c r="D36" s="17">
        <f>IF($B36="",0,--(OR(任务!B17="",任务!C17="",任务!E17="",任务!G17="",任务!H17="",NOT(ISNUMBER(任务!I17)))))</f>
        <v>0</v>
      </c>
      <c r="E36" s="17">
        <f>IF($B36="",0,--(AND(任务!G17&lt;&gt;"",任务!H17&lt;&gt;"",任务!G17&gt;任务!H17)))</f>
        <v>0</v>
      </c>
      <c r="F36" s="17">
        <f>IF($B36="",0,--(OR(任务!I17&lt;0,任务!I17&gt;100)))</f>
        <v>0</v>
      </c>
      <c r="G36" s="17">
        <f>IF($B36="",0,IF(ISNUMBER(SEARCH(",",任务!J17)),0,IF(任务!J17="",0,--(COUNTIF(任务!$A$2:$A$301,TRIM(任务!J17))=0))))</f>
        <v>0</v>
      </c>
      <c r="H36" s="17">
        <f>IF($B36="",0,--(NOT(ISNUMBER(任务!I17))))</f>
        <v>0</v>
      </c>
      <c r="I36" s="17">
        <f t="shared" ca="1" si="1"/>
        <v>0</v>
      </c>
    </row>
    <row r="37" spans="1:9">
      <c r="A37" s="15">
        <f t="shared" si="0"/>
        <v>18</v>
      </c>
      <c r="B37" s="16" t="str">
        <f>IF(任务!A18="","",任务!A18)</f>
        <v/>
      </c>
      <c r="C37" s="17">
        <f>IF($B37="",0,--(COUNTIF(任务!$A$2:$A$301,$B37)&gt;1))</f>
        <v>0</v>
      </c>
      <c r="D37" s="17">
        <f>IF($B37="",0,--(OR(任务!B18="",任务!C18="",任务!E18="",任务!G18="",任务!H18="",NOT(ISNUMBER(任务!I18)))))</f>
        <v>0</v>
      </c>
      <c r="E37" s="17">
        <f>IF($B37="",0,--(AND(任务!G18&lt;&gt;"",任务!H18&lt;&gt;"",任务!G18&gt;任务!H18)))</f>
        <v>0</v>
      </c>
      <c r="F37" s="17">
        <f>IF($B37="",0,--(OR(任务!I18&lt;0,任务!I18&gt;100)))</f>
        <v>0</v>
      </c>
      <c r="G37" s="17">
        <f>IF($B37="",0,IF(ISNUMBER(SEARCH(",",任务!J18)),0,IF(任务!J18="",0,--(COUNTIF(任务!$A$2:$A$301,TRIM(任务!J18))=0))))</f>
        <v>0</v>
      </c>
      <c r="H37" s="17">
        <f>IF($B37="",0,--(NOT(ISNUMBER(任务!I18))))</f>
        <v>0</v>
      </c>
      <c r="I37" s="17">
        <f t="shared" si="1"/>
        <v>0</v>
      </c>
    </row>
    <row r="38" spans="1:9">
      <c r="A38" s="15">
        <f t="shared" si="0"/>
        <v>19</v>
      </c>
      <c r="B38" s="16" t="str">
        <f>IF(任务!A19="","",任务!A19)</f>
        <v/>
      </c>
      <c r="C38" s="17">
        <f>IF($B38="",0,--(COUNTIF(任务!$A$2:$A$301,$B38)&gt;1))</f>
        <v>0</v>
      </c>
      <c r="D38" s="17">
        <f>IF($B38="",0,--(OR(任务!B19="",任务!C19="",任务!E19="",任务!G19="",任务!H19="",NOT(ISNUMBER(任务!I19)))))</f>
        <v>0</v>
      </c>
      <c r="E38" s="17">
        <f>IF($B38="",0,--(AND(任务!G19&lt;&gt;"",任务!H19&lt;&gt;"",任务!G19&gt;任务!H19)))</f>
        <v>0</v>
      </c>
      <c r="F38" s="17">
        <f>IF($B38="",0,--(OR(任务!I19&lt;0,任务!I19&gt;100)))</f>
        <v>0</v>
      </c>
      <c r="G38" s="17">
        <f>IF($B38="",0,IF(ISNUMBER(SEARCH(",",任务!J19)),0,IF(任务!J19="",0,--(COUNTIF(任务!$A$2:$A$301,TRIM(任务!J19))=0))))</f>
        <v>0</v>
      </c>
      <c r="H38" s="17">
        <f>IF($B38="",0,--(NOT(ISNUMBER(任务!I19))))</f>
        <v>0</v>
      </c>
      <c r="I38" s="17">
        <f t="shared" si="1"/>
        <v>0</v>
      </c>
    </row>
    <row r="39" spans="1:9">
      <c r="A39" s="15">
        <f t="shared" si="0"/>
        <v>20</v>
      </c>
      <c r="B39" s="16" t="str">
        <f>IF(任务!A20="","",任务!A20)</f>
        <v/>
      </c>
      <c r="C39" s="17">
        <f>IF($B39="",0,--(COUNTIF(任务!$A$2:$A$301,$B39)&gt;1))</f>
        <v>0</v>
      </c>
      <c r="D39" s="17">
        <f>IF($B39="",0,--(OR(任务!B20="",任务!C20="",任务!E20="",任务!G20="",任务!H20="",NOT(ISNUMBER(任务!I20)))))</f>
        <v>0</v>
      </c>
      <c r="E39" s="17">
        <f>IF($B39="",0,--(AND(任务!G20&lt;&gt;"",任务!H20&lt;&gt;"",任务!G20&gt;任务!H20)))</f>
        <v>0</v>
      </c>
      <c r="F39" s="17">
        <f>IF($B39="",0,--(OR(任务!I20&lt;0,任务!I20&gt;100)))</f>
        <v>0</v>
      </c>
      <c r="G39" s="17">
        <f>IF($B39="",0,IF(ISNUMBER(SEARCH(",",任务!J20)),0,IF(任务!J20="",0,--(COUNTIF(任务!$A$2:$A$301,TRIM(任务!J20))=0))))</f>
        <v>0</v>
      </c>
      <c r="H39" s="17">
        <f>IF($B39="",0,--(NOT(ISNUMBER(任务!I20))))</f>
        <v>0</v>
      </c>
      <c r="I39" s="17">
        <f t="shared" si="1"/>
        <v>0</v>
      </c>
    </row>
    <row r="40" spans="1:9">
      <c r="A40" s="15">
        <f t="shared" si="0"/>
        <v>21</v>
      </c>
      <c r="B40" s="16" t="str">
        <f>IF(任务!A21="","",任务!A21)</f>
        <v/>
      </c>
      <c r="C40" s="17">
        <f>IF($B40="",0,--(COUNTIF(任务!$A$2:$A$301,$B40)&gt;1))</f>
        <v>0</v>
      </c>
      <c r="D40" s="17">
        <f>IF($B40="",0,--(OR(任务!B21="",任务!C21="",任务!E21="",任务!G21="",任务!H21="",NOT(ISNUMBER(任务!I21)))))</f>
        <v>0</v>
      </c>
      <c r="E40" s="17">
        <f>IF($B40="",0,--(AND(任务!G21&lt;&gt;"",任务!H21&lt;&gt;"",任务!G21&gt;任务!H21)))</f>
        <v>0</v>
      </c>
      <c r="F40" s="17">
        <f>IF($B40="",0,--(OR(任务!I21&lt;0,任务!I21&gt;100)))</f>
        <v>0</v>
      </c>
      <c r="G40" s="17">
        <f>IF($B40="",0,IF(ISNUMBER(SEARCH(",",任务!J21)),0,IF(任务!J21="",0,--(COUNTIF(任务!$A$2:$A$301,TRIM(任务!J21))=0))))</f>
        <v>0</v>
      </c>
      <c r="H40" s="17">
        <f>IF($B40="",0,--(NOT(ISNUMBER(任务!I21))))</f>
        <v>0</v>
      </c>
      <c r="I40" s="17">
        <f t="shared" si="1"/>
        <v>0</v>
      </c>
    </row>
    <row r="41" spans="1:9">
      <c r="A41" s="15">
        <f t="shared" si="0"/>
        <v>22</v>
      </c>
      <c r="B41" s="16" t="str">
        <f>IF(任务!A22="","",任务!A22)</f>
        <v/>
      </c>
      <c r="C41" s="17">
        <f>IF($B41="",0,--(COUNTIF(任务!$A$2:$A$301,$B41)&gt;1))</f>
        <v>0</v>
      </c>
      <c r="D41" s="17">
        <f>IF($B41="",0,--(OR(任务!B22="",任务!C22="",任务!E22="",任务!G22="",任务!H22="",NOT(ISNUMBER(任务!I22)))))</f>
        <v>0</v>
      </c>
      <c r="E41" s="17">
        <f>IF($B41="",0,--(AND(任务!G22&lt;&gt;"",任务!H22&lt;&gt;"",任务!G22&gt;任务!H22)))</f>
        <v>0</v>
      </c>
      <c r="F41" s="17">
        <f>IF($B41="",0,--(OR(任务!I22&lt;0,任务!I22&gt;100)))</f>
        <v>0</v>
      </c>
      <c r="G41" s="17">
        <f>IF($B41="",0,IF(ISNUMBER(SEARCH(",",任务!J22)),0,IF(任务!J22="",0,--(COUNTIF(任务!$A$2:$A$301,TRIM(任务!J22))=0))))</f>
        <v>0</v>
      </c>
      <c r="H41" s="17">
        <f>IF($B41="",0,--(NOT(ISNUMBER(任务!I22))))</f>
        <v>0</v>
      </c>
      <c r="I41" s="17">
        <f t="shared" si="1"/>
        <v>0</v>
      </c>
    </row>
    <row r="42" spans="1:9">
      <c r="A42" s="15">
        <f t="shared" si="0"/>
        <v>23</v>
      </c>
      <c r="B42" s="16" t="str">
        <f>IF(任务!A23="","",任务!A23)</f>
        <v/>
      </c>
      <c r="C42" s="17">
        <f>IF($B42="",0,--(COUNTIF(任务!$A$2:$A$301,$B42)&gt;1))</f>
        <v>0</v>
      </c>
      <c r="D42" s="17">
        <f>IF($B42="",0,--(OR(任务!B23="",任务!C23="",任务!E23="",任务!G23="",任务!H23="",NOT(ISNUMBER(任务!I23)))))</f>
        <v>0</v>
      </c>
      <c r="E42" s="17">
        <f>IF($B42="",0,--(AND(任务!G23&lt;&gt;"",任务!H23&lt;&gt;"",任务!G23&gt;任务!H23)))</f>
        <v>0</v>
      </c>
      <c r="F42" s="17">
        <f>IF($B42="",0,--(OR(任务!I23&lt;0,任务!I23&gt;100)))</f>
        <v>0</v>
      </c>
      <c r="G42" s="17">
        <f>IF($B42="",0,IF(ISNUMBER(SEARCH(",",任务!J23)),0,IF(任务!J23="",0,--(COUNTIF(任务!$A$2:$A$301,TRIM(任务!J23))=0))))</f>
        <v>0</v>
      </c>
      <c r="H42" s="17">
        <f>IF($B42="",0,--(NOT(ISNUMBER(任务!I23))))</f>
        <v>0</v>
      </c>
      <c r="I42" s="17">
        <f t="shared" si="1"/>
        <v>0</v>
      </c>
    </row>
    <row r="43" spans="1:9">
      <c r="A43" s="15">
        <f t="shared" si="0"/>
        <v>24</v>
      </c>
      <c r="B43" s="16" t="str">
        <f>IF(任务!A24="","",任务!A24)</f>
        <v/>
      </c>
      <c r="C43" s="17">
        <f>IF($B43="",0,--(COUNTIF(任务!$A$2:$A$301,$B43)&gt;1))</f>
        <v>0</v>
      </c>
      <c r="D43" s="17">
        <f>IF($B43="",0,--(OR(任务!B24="",任务!C24="",任务!E24="",任务!G24="",任务!H24="",NOT(ISNUMBER(任务!I24)))))</f>
        <v>0</v>
      </c>
      <c r="E43" s="17">
        <f>IF($B43="",0,--(AND(任务!G24&lt;&gt;"",任务!H24&lt;&gt;"",任务!G24&gt;任务!H24)))</f>
        <v>0</v>
      </c>
      <c r="F43" s="17">
        <f>IF($B43="",0,--(OR(任务!I24&lt;0,任务!I24&gt;100)))</f>
        <v>0</v>
      </c>
      <c r="G43" s="17">
        <f>IF($B43="",0,IF(ISNUMBER(SEARCH(",",任务!J24)),0,IF(任务!J24="",0,--(COUNTIF(任务!$A$2:$A$301,TRIM(任务!J24))=0))))</f>
        <v>0</v>
      </c>
      <c r="H43" s="17">
        <f>IF($B43="",0,--(NOT(ISNUMBER(任务!I24))))</f>
        <v>0</v>
      </c>
      <c r="I43" s="17">
        <f t="shared" si="1"/>
        <v>0</v>
      </c>
    </row>
    <row r="44" spans="1:9">
      <c r="A44" s="15">
        <f t="shared" si="0"/>
        <v>25</v>
      </c>
      <c r="B44" s="16" t="str">
        <f>IF(任务!A25="","",任务!A25)</f>
        <v/>
      </c>
      <c r="C44" s="17">
        <f>IF($B44="",0,--(COUNTIF(任务!$A$2:$A$301,$B44)&gt;1))</f>
        <v>0</v>
      </c>
      <c r="D44" s="17">
        <f>IF($B44="",0,--(OR(任务!B25="",任务!C25="",任务!E25="",任务!G25="",任务!H25="",NOT(ISNUMBER(任务!I25)))))</f>
        <v>0</v>
      </c>
      <c r="E44" s="17">
        <f>IF($B44="",0,--(AND(任务!G25&lt;&gt;"",任务!H25&lt;&gt;"",任务!G25&gt;任务!H25)))</f>
        <v>0</v>
      </c>
      <c r="F44" s="17">
        <f>IF($B44="",0,--(OR(任务!I25&lt;0,任务!I25&gt;100)))</f>
        <v>0</v>
      </c>
      <c r="G44" s="17">
        <f>IF($B44="",0,IF(ISNUMBER(SEARCH(",",任务!J25)),0,IF(任务!J25="",0,--(COUNTIF(任务!$A$2:$A$301,TRIM(任务!J25))=0))))</f>
        <v>0</v>
      </c>
      <c r="H44" s="17">
        <f>IF($B44="",0,--(NOT(ISNUMBER(任务!I25))))</f>
        <v>0</v>
      </c>
      <c r="I44" s="17">
        <f t="shared" si="1"/>
        <v>0</v>
      </c>
    </row>
    <row r="45" spans="1:9">
      <c r="A45" s="15">
        <f t="shared" si="0"/>
        <v>26</v>
      </c>
      <c r="B45" s="16" t="str">
        <f>IF(任务!A26="","",任务!A26)</f>
        <v/>
      </c>
      <c r="C45" s="17">
        <f>IF($B45="",0,--(COUNTIF(任务!$A$2:$A$301,$B45)&gt;1))</f>
        <v>0</v>
      </c>
      <c r="D45" s="17">
        <f>IF($B45="",0,--(OR(任务!B26="",任务!C26="",任务!E26="",任务!G26="",任务!H26="",NOT(ISNUMBER(任务!I26)))))</f>
        <v>0</v>
      </c>
      <c r="E45" s="17">
        <f>IF($B45="",0,--(AND(任务!G26&lt;&gt;"",任务!H26&lt;&gt;"",任务!G26&gt;任务!H26)))</f>
        <v>0</v>
      </c>
      <c r="F45" s="17">
        <f>IF($B45="",0,--(OR(任务!I26&lt;0,任务!I26&gt;100)))</f>
        <v>0</v>
      </c>
      <c r="G45" s="17">
        <f>IF($B45="",0,IF(ISNUMBER(SEARCH(",",任务!J26)),0,IF(任务!J26="",0,--(COUNTIF(任务!$A$2:$A$301,TRIM(任务!J26))=0))))</f>
        <v>0</v>
      </c>
      <c r="H45" s="17">
        <f>IF($B45="",0,--(NOT(ISNUMBER(任务!I26))))</f>
        <v>0</v>
      </c>
      <c r="I45" s="17">
        <f t="shared" si="1"/>
        <v>0</v>
      </c>
    </row>
    <row r="46" spans="1:9">
      <c r="A46" s="15">
        <f t="shared" si="0"/>
        <v>27</v>
      </c>
      <c r="B46" s="16" t="str">
        <f>IF(任务!A27="","",任务!A27)</f>
        <v/>
      </c>
      <c r="C46" s="17">
        <f>IF($B46="",0,--(COUNTIF(任务!$A$2:$A$301,$B46)&gt;1))</f>
        <v>0</v>
      </c>
      <c r="D46" s="17">
        <f>IF($B46="",0,--(OR(任务!B27="",任务!C27="",任务!E27="",任务!G27="",任务!H27="",NOT(ISNUMBER(任务!I27)))))</f>
        <v>0</v>
      </c>
      <c r="E46" s="17">
        <f>IF($B46="",0,--(AND(任务!G27&lt;&gt;"",任务!H27&lt;&gt;"",任务!G27&gt;任务!H27)))</f>
        <v>0</v>
      </c>
      <c r="F46" s="17">
        <f>IF($B46="",0,--(OR(任务!I27&lt;0,任务!I27&gt;100)))</f>
        <v>0</v>
      </c>
      <c r="G46" s="17">
        <f>IF($B46="",0,IF(ISNUMBER(SEARCH(",",任务!J27)),0,IF(任务!J27="",0,--(COUNTIF(任务!$A$2:$A$301,TRIM(任务!J27))=0))))</f>
        <v>0</v>
      </c>
      <c r="H46" s="17">
        <f>IF($B46="",0,--(NOT(ISNUMBER(任务!I27))))</f>
        <v>0</v>
      </c>
      <c r="I46" s="17">
        <f t="shared" si="1"/>
        <v>0</v>
      </c>
    </row>
    <row r="47" spans="1:9">
      <c r="A47" s="15">
        <f t="shared" si="0"/>
        <v>28</v>
      </c>
      <c r="B47" s="16" t="str">
        <f>IF(任务!A28="","",任务!A28)</f>
        <v/>
      </c>
      <c r="C47" s="17">
        <f>IF($B47="",0,--(COUNTIF(任务!$A$2:$A$301,$B47)&gt;1))</f>
        <v>0</v>
      </c>
      <c r="D47" s="17">
        <f>IF($B47="",0,--(OR(任务!B28="",任务!C28="",任务!E28="",任务!G28="",任务!H28="",NOT(ISNUMBER(任务!I28)))))</f>
        <v>0</v>
      </c>
      <c r="E47" s="17">
        <f>IF($B47="",0,--(AND(任务!G28&lt;&gt;"",任务!H28&lt;&gt;"",任务!G28&gt;任务!H28)))</f>
        <v>0</v>
      </c>
      <c r="F47" s="17">
        <f>IF($B47="",0,--(OR(任务!I28&lt;0,任务!I28&gt;100)))</f>
        <v>0</v>
      </c>
      <c r="G47" s="17">
        <f>IF($B47="",0,IF(ISNUMBER(SEARCH(",",任务!J28)),0,IF(任务!J28="",0,--(COUNTIF(任务!$A$2:$A$301,TRIM(任务!J28))=0))))</f>
        <v>0</v>
      </c>
      <c r="H47" s="17">
        <f>IF($B47="",0,--(NOT(ISNUMBER(任务!I28))))</f>
        <v>0</v>
      </c>
      <c r="I47" s="17">
        <f t="shared" si="1"/>
        <v>0</v>
      </c>
    </row>
    <row r="48" spans="1:9">
      <c r="A48" s="15">
        <f t="shared" si="0"/>
        <v>29</v>
      </c>
      <c r="B48" s="16" t="str">
        <f>IF(任务!A29="","",任务!A29)</f>
        <v/>
      </c>
      <c r="C48" s="17">
        <f>IF($B48="",0,--(COUNTIF(任务!$A$2:$A$301,$B48)&gt;1))</f>
        <v>0</v>
      </c>
      <c r="D48" s="17">
        <f>IF($B48="",0,--(OR(任务!B29="",任务!C29="",任务!E29="",任务!G29="",任务!H29="",NOT(ISNUMBER(任务!I29)))))</f>
        <v>0</v>
      </c>
      <c r="E48" s="17">
        <f>IF($B48="",0,--(AND(任务!G29&lt;&gt;"",任务!H29&lt;&gt;"",任务!G29&gt;任务!H29)))</f>
        <v>0</v>
      </c>
      <c r="F48" s="17">
        <f>IF($B48="",0,--(OR(任务!I29&lt;0,任务!I29&gt;100)))</f>
        <v>0</v>
      </c>
      <c r="G48" s="17">
        <f>IF($B48="",0,IF(ISNUMBER(SEARCH(",",任务!J29)),0,IF(任务!J29="",0,--(COUNTIF(任务!$A$2:$A$301,TRIM(任务!J29))=0))))</f>
        <v>0</v>
      </c>
      <c r="H48" s="17">
        <f>IF($B48="",0,--(NOT(ISNUMBER(任务!I29))))</f>
        <v>0</v>
      </c>
      <c r="I48" s="17">
        <f t="shared" si="1"/>
        <v>0</v>
      </c>
    </row>
    <row r="49" spans="1:9">
      <c r="A49" s="15">
        <f t="shared" si="0"/>
        <v>30</v>
      </c>
      <c r="B49" s="16" t="str">
        <f>IF(任务!A30="","",任务!A30)</f>
        <v/>
      </c>
      <c r="C49" s="17">
        <f>IF($B49="",0,--(COUNTIF(任务!$A$2:$A$301,$B49)&gt;1))</f>
        <v>0</v>
      </c>
      <c r="D49" s="17">
        <f>IF($B49="",0,--(OR(任务!B30="",任务!C30="",任务!E30="",任务!G30="",任务!H30="",NOT(ISNUMBER(任务!I30)))))</f>
        <v>0</v>
      </c>
      <c r="E49" s="17">
        <f>IF($B49="",0,--(AND(任务!G30&lt;&gt;"",任务!H30&lt;&gt;"",任务!G30&gt;任务!H30)))</f>
        <v>0</v>
      </c>
      <c r="F49" s="17">
        <f>IF($B49="",0,--(OR(任务!I30&lt;0,任务!I30&gt;100)))</f>
        <v>0</v>
      </c>
      <c r="G49" s="17">
        <f>IF($B49="",0,IF(ISNUMBER(SEARCH(",",任务!J30)),0,IF(任务!J30="",0,--(COUNTIF(任务!$A$2:$A$301,TRIM(任务!J30))=0))))</f>
        <v>0</v>
      </c>
      <c r="H49" s="17">
        <f>IF($B49="",0,--(NOT(ISNUMBER(任务!I30))))</f>
        <v>0</v>
      </c>
      <c r="I49" s="17">
        <f t="shared" si="1"/>
        <v>0</v>
      </c>
    </row>
    <row r="50" spans="1:9">
      <c r="A50" s="15">
        <f t="shared" si="0"/>
        <v>31</v>
      </c>
      <c r="B50" s="16" t="str">
        <f>IF(任务!A31="","",任务!A31)</f>
        <v/>
      </c>
      <c r="C50" s="17">
        <f>IF($B50="",0,--(COUNTIF(任务!$A$2:$A$301,$B50)&gt;1))</f>
        <v>0</v>
      </c>
      <c r="D50" s="17">
        <f>IF($B50="",0,--(OR(任务!B31="",任务!C31="",任务!E31="",任务!G31="",任务!H31="",NOT(ISNUMBER(任务!I31)))))</f>
        <v>0</v>
      </c>
      <c r="E50" s="17">
        <f>IF($B50="",0,--(AND(任务!G31&lt;&gt;"",任务!H31&lt;&gt;"",任务!G31&gt;任务!H31)))</f>
        <v>0</v>
      </c>
      <c r="F50" s="17">
        <f>IF($B50="",0,--(OR(任务!I31&lt;0,任务!I31&gt;100)))</f>
        <v>0</v>
      </c>
      <c r="G50" s="17">
        <f>IF($B50="",0,IF(ISNUMBER(SEARCH(",",任务!J31)),0,IF(任务!J31="",0,--(COUNTIF(任务!$A$2:$A$301,TRIM(任务!J31))=0))))</f>
        <v>0</v>
      </c>
      <c r="H50" s="17">
        <f>IF($B50="",0,--(NOT(ISNUMBER(任务!I31))))</f>
        <v>0</v>
      </c>
      <c r="I50" s="17">
        <f t="shared" si="1"/>
        <v>0</v>
      </c>
    </row>
    <row r="51" spans="1:9">
      <c r="A51" s="15">
        <f t="shared" si="0"/>
        <v>32</v>
      </c>
      <c r="B51" s="16" t="str">
        <f>IF(任务!A32="","",任务!A32)</f>
        <v/>
      </c>
      <c r="C51" s="17">
        <f>IF($B51="",0,--(COUNTIF(任务!$A$2:$A$301,$B51)&gt;1))</f>
        <v>0</v>
      </c>
      <c r="D51" s="17">
        <f>IF($B51="",0,--(OR(任务!B32="",任务!C32="",任务!E32="",任务!G32="",任务!H32="",NOT(ISNUMBER(任务!I32)))))</f>
        <v>0</v>
      </c>
      <c r="E51" s="17">
        <f>IF($B51="",0,--(AND(任务!G32&lt;&gt;"",任务!H32&lt;&gt;"",任务!G32&gt;任务!H32)))</f>
        <v>0</v>
      </c>
      <c r="F51" s="17">
        <f>IF($B51="",0,--(OR(任务!I32&lt;0,任务!I32&gt;100)))</f>
        <v>0</v>
      </c>
      <c r="G51" s="17">
        <f>IF($B51="",0,IF(ISNUMBER(SEARCH(",",任务!J32)),0,IF(任务!J32="",0,--(COUNTIF(任务!$A$2:$A$301,TRIM(任务!J32))=0))))</f>
        <v>0</v>
      </c>
      <c r="H51" s="17">
        <f>IF($B51="",0,--(NOT(ISNUMBER(任务!I32))))</f>
        <v>0</v>
      </c>
      <c r="I51" s="17">
        <f t="shared" si="1"/>
        <v>0</v>
      </c>
    </row>
    <row r="52" spans="1:9">
      <c r="A52" s="15">
        <f t="shared" si="0"/>
        <v>33</v>
      </c>
      <c r="B52" s="16" t="str">
        <f>IF(任务!A33="","",任务!A33)</f>
        <v/>
      </c>
      <c r="C52" s="17">
        <f>IF($B52="",0,--(COUNTIF(任务!$A$2:$A$301,$B52)&gt;1))</f>
        <v>0</v>
      </c>
      <c r="D52" s="17">
        <f>IF($B52="",0,--(OR(任务!B33="",任务!C33="",任务!E33="",任务!G33="",任务!H33="",NOT(ISNUMBER(任务!I33)))))</f>
        <v>0</v>
      </c>
      <c r="E52" s="17">
        <f>IF($B52="",0,--(AND(任务!G33&lt;&gt;"",任务!H33&lt;&gt;"",任务!G33&gt;任务!H33)))</f>
        <v>0</v>
      </c>
      <c r="F52" s="17">
        <f>IF($B52="",0,--(OR(任务!I33&lt;0,任务!I33&gt;100)))</f>
        <v>0</v>
      </c>
      <c r="G52" s="17">
        <f>IF($B52="",0,IF(ISNUMBER(SEARCH(",",任务!J33)),0,IF(任务!J33="",0,--(COUNTIF(任务!$A$2:$A$301,TRIM(任务!J33))=0))))</f>
        <v>0</v>
      </c>
      <c r="H52" s="17">
        <f>IF($B52="",0,--(NOT(ISNUMBER(任务!I33))))</f>
        <v>0</v>
      </c>
      <c r="I52" s="17">
        <f t="shared" si="1"/>
        <v>0</v>
      </c>
    </row>
    <row r="53" spans="1:9">
      <c r="A53" s="15">
        <f t="shared" si="0"/>
        <v>34</v>
      </c>
      <c r="B53" s="16" t="str">
        <f>IF(任务!A34="","",任务!A34)</f>
        <v/>
      </c>
      <c r="C53" s="17">
        <f>IF($B53="",0,--(COUNTIF(任务!$A$2:$A$301,$B53)&gt;1))</f>
        <v>0</v>
      </c>
      <c r="D53" s="17">
        <f>IF($B53="",0,--(OR(任务!B34="",任务!C34="",任务!E34="",任务!G34="",任务!H34="",NOT(ISNUMBER(任务!I34)))))</f>
        <v>0</v>
      </c>
      <c r="E53" s="17">
        <f>IF($B53="",0,--(AND(任务!G34&lt;&gt;"",任务!H34&lt;&gt;"",任务!G34&gt;任务!H34)))</f>
        <v>0</v>
      </c>
      <c r="F53" s="17">
        <f>IF($B53="",0,--(OR(任务!I34&lt;0,任务!I34&gt;100)))</f>
        <v>0</v>
      </c>
      <c r="G53" s="17">
        <f>IF($B53="",0,IF(ISNUMBER(SEARCH(",",任务!J34)),0,IF(任务!J34="",0,--(COUNTIF(任务!$A$2:$A$301,TRIM(任务!J34))=0))))</f>
        <v>0</v>
      </c>
      <c r="H53" s="17">
        <f>IF($B53="",0,--(NOT(ISNUMBER(任务!I34))))</f>
        <v>0</v>
      </c>
      <c r="I53" s="17">
        <f t="shared" si="1"/>
        <v>0</v>
      </c>
    </row>
    <row r="54" spans="1:9">
      <c r="A54" s="15">
        <f t="shared" si="0"/>
        <v>35</v>
      </c>
      <c r="B54" s="16" t="str">
        <f>IF(任务!A35="","",任务!A35)</f>
        <v/>
      </c>
      <c r="C54" s="17">
        <f>IF($B54="",0,--(COUNTIF(任务!$A$2:$A$301,$B54)&gt;1))</f>
        <v>0</v>
      </c>
      <c r="D54" s="17">
        <f>IF($B54="",0,--(OR(任务!B35="",任务!C35="",任务!E35="",任务!G35="",任务!H35="",NOT(ISNUMBER(任务!I35)))))</f>
        <v>0</v>
      </c>
      <c r="E54" s="17">
        <f>IF($B54="",0,--(AND(任务!G35&lt;&gt;"",任务!H35&lt;&gt;"",任务!G35&gt;任务!H35)))</f>
        <v>0</v>
      </c>
      <c r="F54" s="17">
        <f>IF($B54="",0,--(OR(任务!I35&lt;0,任务!I35&gt;100)))</f>
        <v>0</v>
      </c>
      <c r="G54" s="17">
        <f>IF($B54="",0,IF(ISNUMBER(SEARCH(",",任务!J35)),0,IF(任务!J35="",0,--(COUNTIF(任务!$A$2:$A$301,TRIM(任务!J35))=0))))</f>
        <v>0</v>
      </c>
      <c r="H54" s="17">
        <f>IF($B54="",0,--(NOT(ISNUMBER(任务!I35))))</f>
        <v>0</v>
      </c>
      <c r="I54" s="17">
        <f t="shared" si="1"/>
        <v>0</v>
      </c>
    </row>
    <row r="55" spans="1:9">
      <c r="A55" s="15">
        <f t="shared" si="0"/>
        <v>36</v>
      </c>
      <c r="B55" s="16" t="str">
        <f>IF(任务!A36="","",任务!A36)</f>
        <v/>
      </c>
      <c r="C55" s="17">
        <f>IF($B55="",0,--(COUNTIF(任务!$A$2:$A$301,$B55)&gt;1))</f>
        <v>0</v>
      </c>
      <c r="D55" s="17">
        <f>IF($B55="",0,--(OR(任务!B36="",任务!C36="",任务!E36="",任务!G36="",任务!H36="",NOT(ISNUMBER(任务!I36)))))</f>
        <v>0</v>
      </c>
      <c r="E55" s="17">
        <f>IF($B55="",0,--(AND(任务!G36&lt;&gt;"",任务!H36&lt;&gt;"",任务!G36&gt;任务!H36)))</f>
        <v>0</v>
      </c>
      <c r="F55" s="17">
        <f>IF($B55="",0,--(OR(任务!I36&lt;0,任务!I36&gt;100)))</f>
        <v>0</v>
      </c>
      <c r="G55" s="17">
        <f>IF($B55="",0,IF(ISNUMBER(SEARCH(",",任务!J36)),0,IF(任务!J36="",0,--(COUNTIF(任务!$A$2:$A$301,TRIM(任务!J36))=0))))</f>
        <v>0</v>
      </c>
      <c r="H55" s="17">
        <f>IF($B55="",0,--(NOT(ISNUMBER(任务!I36))))</f>
        <v>0</v>
      </c>
      <c r="I55" s="17">
        <f t="shared" si="1"/>
        <v>0</v>
      </c>
    </row>
    <row r="56" spans="1:9">
      <c r="A56" s="15">
        <f t="shared" si="0"/>
        <v>37</v>
      </c>
      <c r="B56" s="16" t="str">
        <f>IF(任务!A37="","",任务!A37)</f>
        <v/>
      </c>
      <c r="C56" s="17">
        <f>IF($B56="",0,--(COUNTIF(任务!$A$2:$A$301,$B56)&gt;1))</f>
        <v>0</v>
      </c>
      <c r="D56" s="17">
        <f>IF($B56="",0,--(OR(任务!B37="",任务!C37="",任务!E37="",任务!G37="",任务!H37="",NOT(ISNUMBER(任务!I37)))))</f>
        <v>0</v>
      </c>
      <c r="E56" s="17">
        <f>IF($B56="",0,--(AND(任务!G37&lt;&gt;"",任务!H37&lt;&gt;"",任务!G37&gt;任务!H37)))</f>
        <v>0</v>
      </c>
      <c r="F56" s="17">
        <f>IF($B56="",0,--(OR(任务!I37&lt;0,任务!I37&gt;100)))</f>
        <v>0</v>
      </c>
      <c r="G56" s="17">
        <f>IF($B56="",0,IF(ISNUMBER(SEARCH(",",任务!J37)),0,IF(任务!J37="",0,--(COUNTIF(任务!$A$2:$A$301,TRIM(任务!J37))=0))))</f>
        <v>0</v>
      </c>
      <c r="H56" s="17">
        <f>IF($B56="",0,--(NOT(ISNUMBER(任务!I37))))</f>
        <v>0</v>
      </c>
      <c r="I56" s="17">
        <f t="shared" si="1"/>
        <v>0</v>
      </c>
    </row>
    <row r="57" spans="1:9">
      <c r="A57" s="15">
        <f t="shared" si="0"/>
        <v>38</v>
      </c>
      <c r="B57" s="16" t="str">
        <f>IF(任务!A38="","",任务!A38)</f>
        <v/>
      </c>
      <c r="C57" s="17">
        <f>IF($B57="",0,--(COUNTIF(任务!$A$2:$A$301,$B57)&gt;1))</f>
        <v>0</v>
      </c>
      <c r="D57" s="17">
        <f>IF($B57="",0,--(OR(任务!B38="",任务!C38="",任务!E38="",任务!G38="",任务!H38="",NOT(ISNUMBER(任务!I38)))))</f>
        <v>0</v>
      </c>
      <c r="E57" s="17">
        <f>IF($B57="",0,--(AND(任务!G38&lt;&gt;"",任务!H38&lt;&gt;"",任务!G38&gt;任务!H38)))</f>
        <v>0</v>
      </c>
      <c r="F57" s="17">
        <f>IF($B57="",0,--(OR(任务!I38&lt;0,任务!I38&gt;100)))</f>
        <v>0</v>
      </c>
      <c r="G57" s="17">
        <f>IF($B57="",0,IF(ISNUMBER(SEARCH(",",任务!J38)),0,IF(任务!J38="",0,--(COUNTIF(任务!$A$2:$A$301,TRIM(任务!J38))=0))))</f>
        <v>0</v>
      </c>
      <c r="H57" s="17">
        <f>IF($B57="",0,--(NOT(ISNUMBER(任务!I38))))</f>
        <v>0</v>
      </c>
      <c r="I57" s="17">
        <f t="shared" si="1"/>
        <v>0</v>
      </c>
    </row>
    <row r="58" spans="1:9">
      <c r="A58" s="15">
        <f t="shared" si="0"/>
        <v>39</v>
      </c>
      <c r="B58" s="16" t="str">
        <f>IF(任务!A39="","",任务!A39)</f>
        <v/>
      </c>
      <c r="C58" s="17">
        <f>IF($B58="",0,--(COUNTIF(任务!$A$2:$A$301,$B58)&gt;1))</f>
        <v>0</v>
      </c>
      <c r="D58" s="17">
        <f>IF($B58="",0,--(OR(任务!B39="",任务!C39="",任务!E39="",任务!G39="",任务!H39="",NOT(ISNUMBER(任务!I39)))))</f>
        <v>0</v>
      </c>
      <c r="E58" s="17">
        <f>IF($B58="",0,--(AND(任务!G39&lt;&gt;"",任务!H39&lt;&gt;"",任务!G39&gt;任务!H39)))</f>
        <v>0</v>
      </c>
      <c r="F58" s="17">
        <f>IF($B58="",0,--(OR(任务!I39&lt;0,任务!I39&gt;100)))</f>
        <v>0</v>
      </c>
      <c r="G58" s="17">
        <f>IF($B58="",0,IF(ISNUMBER(SEARCH(",",任务!J39)),0,IF(任务!J39="",0,--(COUNTIF(任务!$A$2:$A$301,TRIM(任务!J39))=0))))</f>
        <v>0</v>
      </c>
      <c r="H58" s="17">
        <f>IF($B58="",0,--(NOT(ISNUMBER(任务!I39))))</f>
        <v>0</v>
      </c>
      <c r="I58" s="17">
        <f t="shared" si="1"/>
        <v>0</v>
      </c>
    </row>
    <row r="59" spans="1:9">
      <c r="A59" s="15">
        <f t="shared" si="0"/>
        <v>40</v>
      </c>
      <c r="B59" s="16" t="str">
        <f>IF(任务!A40="","",任务!A40)</f>
        <v/>
      </c>
      <c r="C59" s="17">
        <f>IF($B59="",0,--(COUNTIF(任务!$A$2:$A$301,$B59)&gt;1))</f>
        <v>0</v>
      </c>
      <c r="D59" s="17">
        <f>IF($B59="",0,--(OR(任务!B40="",任务!C40="",任务!E40="",任务!G40="",任务!H40="",NOT(ISNUMBER(任务!I40)))))</f>
        <v>0</v>
      </c>
      <c r="E59" s="17">
        <f>IF($B59="",0,--(AND(任务!G40&lt;&gt;"",任务!H40&lt;&gt;"",任务!G40&gt;任务!H40)))</f>
        <v>0</v>
      </c>
      <c r="F59" s="17">
        <f>IF($B59="",0,--(OR(任务!I40&lt;0,任务!I40&gt;100)))</f>
        <v>0</v>
      </c>
      <c r="G59" s="17">
        <f>IF($B59="",0,IF(ISNUMBER(SEARCH(",",任务!J40)),0,IF(任务!J40="",0,--(COUNTIF(任务!$A$2:$A$301,TRIM(任务!J40))=0))))</f>
        <v>0</v>
      </c>
      <c r="H59" s="17">
        <f>IF($B59="",0,--(NOT(ISNUMBER(任务!I40))))</f>
        <v>0</v>
      </c>
      <c r="I59" s="17">
        <f t="shared" si="1"/>
        <v>0</v>
      </c>
    </row>
    <row r="60" spans="1:9">
      <c r="A60" s="15">
        <f t="shared" si="0"/>
        <v>41</v>
      </c>
      <c r="B60" s="16" t="str">
        <f>IF(任务!A41="","",任务!A41)</f>
        <v/>
      </c>
      <c r="C60" s="17">
        <f>IF($B60="",0,--(COUNTIF(任务!$A$2:$A$301,$B60)&gt;1))</f>
        <v>0</v>
      </c>
      <c r="D60" s="17">
        <f>IF($B60="",0,--(OR(任务!B41="",任务!C41="",任务!E41="",任务!G41="",任务!H41="",NOT(ISNUMBER(任务!I41)))))</f>
        <v>0</v>
      </c>
      <c r="E60" s="17">
        <f>IF($B60="",0,--(AND(任务!G41&lt;&gt;"",任务!H41&lt;&gt;"",任务!G41&gt;任务!H41)))</f>
        <v>0</v>
      </c>
      <c r="F60" s="17">
        <f>IF($B60="",0,--(OR(任务!I41&lt;0,任务!I41&gt;100)))</f>
        <v>0</v>
      </c>
      <c r="G60" s="17">
        <f>IF($B60="",0,IF(ISNUMBER(SEARCH(",",任务!J41)),0,IF(任务!J41="",0,--(COUNTIF(任务!$A$2:$A$301,TRIM(任务!J41))=0))))</f>
        <v>0</v>
      </c>
      <c r="H60" s="17">
        <f>IF($B60="",0,--(NOT(ISNUMBER(任务!I41))))</f>
        <v>0</v>
      </c>
      <c r="I60" s="17">
        <f t="shared" si="1"/>
        <v>0</v>
      </c>
    </row>
    <row r="61" spans="1:9">
      <c r="A61" s="15">
        <f t="shared" si="0"/>
        <v>42</v>
      </c>
      <c r="B61" s="16" t="str">
        <f>IF(任务!A42="","",任务!A42)</f>
        <v/>
      </c>
      <c r="C61" s="17">
        <f>IF($B61="",0,--(COUNTIF(任务!$A$2:$A$301,$B61)&gt;1))</f>
        <v>0</v>
      </c>
      <c r="D61" s="17">
        <f>IF($B61="",0,--(OR(任务!B42="",任务!C42="",任务!E42="",任务!G42="",任务!H42="",NOT(ISNUMBER(任务!I42)))))</f>
        <v>0</v>
      </c>
      <c r="E61" s="17">
        <f>IF($B61="",0,--(AND(任务!G42&lt;&gt;"",任务!H42&lt;&gt;"",任务!G42&gt;任务!H42)))</f>
        <v>0</v>
      </c>
      <c r="F61" s="17">
        <f>IF($B61="",0,--(OR(任务!I42&lt;0,任务!I42&gt;100)))</f>
        <v>0</v>
      </c>
      <c r="G61" s="17">
        <f>IF($B61="",0,IF(ISNUMBER(SEARCH(",",任务!J42)),0,IF(任务!J42="",0,--(COUNTIF(任务!$A$2:$A$301,TRIM(任务!J42))=0))))</f>
        <v>0</v>
      </c>
      <c r="H61" s="17">
        <f>IF($B61="",0,--(NOT(ISNUMBER(任务!I42))))</f>
        <v>0</v>
      </c>
      <c r="I61" s="17">
        <f t="shared" si="1"/>
        <v>0</v>
      </c>
    </row>
    <row r="62" spans="1:9">
      <c r="A62" s="15">
        <f t="shared" si="0"/>
        <v>43</v>
      </c>
      <c r="B62" s="16" t="str">
        <f>IF(任务!A43="","",任务!A43)</f>
        <v/>
      </c>
      <c r="C62" s="17">
        <f>IF($B62="",0,--(COUNTIF(任务!$A$2:$A$301,$B62)&gt;1))</f>
        <v>0</v>
      </c>
      <c r="D62" s="17">
        <f>IF($B62="",0,--(OR(任务!B43="",任务!C43="",任务!E43="",任务!G43="",任务!H43="",NOT(ISNUMBER(任务!I43)))))</f>
        <v>0</v>
      </c>
      <c r="E62" s="17">
        <f>IF($B62="",0,--(AND(任务!G43&lt;&gt;"",任务!H43&lt;&gt;"",任务!G43&gt;任务!H43)))</f>
        <v>0</v>
      </c>
      <c r="F62" s="17">
        <f>IF($B62="",0,--(OR(任务!I43&lt;0,任务!I43&gt;100)))</f>
        <v>0</v>
      </c>
      <c r="G62" s="17">
        <f>IF($B62="",0,IF(ISNUMBER(SEARCH(",",任务!J43)),0,IF(任务!J43="",0,--(COUNTIF(任务!$A$2:$A$301,TRIM(任务!J43))=0))))</f>
        <v>0</v>
      </c>
      <c r="H62" s="17">
        <f>IF($B62="",0,--(NOT(ISNUMBER(任务!I43))))</f>
        <v>0</v>
      </c>
      <c r="I62" s="17">
        <f t="shared" si="1"/>
        <v>0</v>
      </c>
    </row>
    <row r="63" spans="1:9">
      <c r="A63" s="15">
        <f t="shared" si="0"/>
        <v>44</v>
      </c>
      <c r="B63" s="16" t="str">
        <f>IF(任务!A44="","",任务!A44)</f>
        <v/>
      </c>
      <c r="C63" s="17">
        <f>IF($B63="",0,--(COUNTIF(任务!$A$2:$A$301,$B63)&gt;1))</f>
        <v>0</v>
      </c>
      <c r="D63" s="17">
        <f>IF($B63="",0,--(OR(任务!B44="",任务!C44="",任务!E44="",任务!G44="",任务!H44="",NOT(ISNUMBER(任务!I44)))))</f>
        <v>0</v>
      </c>
      <c r="E63" s="17">
        <f>IF($B63="",0,--(AND(任务!G44&lt;&gt;"",任务!H44&lt;&gt;"",任务!G44&gt;任务!H44)))</f>
        <v>0</v>
      </c>
      <c r="F63" s="17">
        <f>IF($B63="",0,--(OR(任务!I44&lt;0,任务!I44&gt;100)))</f>
        <v>0</v>
      </c>
      <c r="G63" s="17">
        <f>IF($B63="",0,IF(ISNUMBER(SEARCH(",",任务!J44)),0,IF(任务!J44="",0,--(COUNTIF(任务!$A$2:$A$301,TRIM(任务!J44))=0))))</f>
        <v>0</v>
      </c>
      <c r="H63" s="17">
        <f>IF($B63="",0,--(NOT(ISNUMBER(任务!I44))))</f>
        <v>0</v>
      </c>
      <c r="I63" s="17">
        <f t="shared" si="1"/>
        <v>0</v>
      </c>
    </row>
    <row r="64" spans="1:9">
      <c r="A64" s="15">
        <f t="shared" si="0"/>
        <v>45</v>
      </c>
      <c r="B64" s="16" t="str">
        <f>IF(任务!A45="","",任务!A45)</f>
        <v/>
      </c>
      <c r="C64" s="17">
        <f>IF($B64="",0,--(COUNTIF(任务!$A$2:$A$301,$B64)&gt;1))</f>
        <v>0</v>
      </c>
      <c r="D64" s="17">
        <f>IF($B64="",0,--(OR(任务!B45="",任务!C45="",任务!E45="",任务!G45="",任务!H45="",NOT(ISNUMBER(任务!I45)))))</f>
        <v>0</v>
      </c>
      <c r="E64" s="17">
        <f>IF($B64="",0,--(AND(任务!G45&lt;&gt;"",任务!H45&lt;&gt;"",任务!G45&gt;任务!H45)))</f>
        <v>0</v>
      </c>
      <c r="F64" s="17">
        <f>IF($B64="",0,--(OR(任务!I45&lt;0,任务!I45&gt;100)))</f>
        <v>0</v>
      </c>
      <c r="G64" s="17">
        <f>IF($B64="",0,IF(ISNUMBER(SEARCH(",",任务!J45)),0,IF(任务!J45="",0,--(COUNTIF(任务!$A$2:$A$301,TRIM(任务!J45))=0))))</f>
        <v>0</v>
      </c>
      <c r="H64" s="17">
        <f>IF($B64="",0,--(NOT(ISNUMBER(任务!I45))))</f>
        <v>0</v>
      </c>
      <c r="I64" s="17">
        <f t="shared" si="1"/>
        <v>0</v>
      </c>
    </row>
    <row r="65" spans="1:9">
      <c r="A65" s="15">
        <f t="shared" si="0"/>
        <v>46</v>
      </c>
      <c r="B65" s="16" t="str">
        <f>IF(任务!A46="","",任务!A46)</f>
        <v/>
      </c>
      <c r="C65" s="17">
        <f>IF($B65="",0,--(COUNTIF(任务!$A$2:$A$301,$B65)&gt;1))</f>
        <v>0</v>
      </c>
      <c r="D65" s="17">
        <f>IF($B65="",0,--(OR(任务!B46="",任务!C46="",任务!E46="",任务!G46="",任务!H46="",NOT(ISNUMBER(任务!I46)))))</f>
        <v>0</v>
      </c>
      <c r="E65" s="17">
        <f>IF($B65="",0,--(AND(任务!G46&lt;&gt;"",任务!H46&lt;&gt;"",任务!G46&gt;任务!H46)))</f>
        <v>0</v>
      </c>
      <c r="F65" s="17">
        <f>IF($B65="",0,--(OR(任务!I46&lt;0,任务!I46&gt;100)))</f>
        <v>0</v>
      </c>
      <c r="G65" s="17">
        <f>IF($B65="",0,IF(ISNUMBER(SEARCH(",",任务!J46)),0,IF(任务!J46="",0,--(COUNTIF(任务!$A$2:$A$301,TRIM(任务!J46))=0))))</f>
        <v>0</v>
      </c>
      <c r="H65" s="17">
        <f>IF($B65="",0,--(NOT(ISNUMBER(任务!I46))))</f>
        <v>0</v>
      </c>
      <c r="I65" s="17">
        <f t="shared" si="1"/>
        <v>0</v>
      </c>
    </row>
    <row r="66" spans="1:9">
      <c r="A66" s="15">
        <f t="shared" si="0"/>
        <v>47</v>
      </c>
      <c r="B66" s="16" t="str">
        <f>IF(任务!A47="","",任务!A47)</f>
        <v/>
      </c>
      <c r="C66" s="17">
        <f>IF($B66="",0,--(COUNTIF(任务!$A$2:$A$301,$B66)&gt;1))</f>
        <v>0</v>
      </c>
      <c r="D66" s="17">
        <f>IF($B66="",0,--(OR(任务!B47="",任务!C47="",任务!E47="",任务!G47="",任务!H47="",NOT(ISNUMBER(任务!I47)))))</f>
        <v>0</v>
      </c>
      <c r="E66" s="17">
        <f>IF($B66="",0,--(AND(任务!G47&lt;&gt;"",任务!H47&lt;&gt;"",任务!G47&gt;任务!H47)))</f>
        <v>0</v>
      </c>
      <c r="F66" s="17">
        <f>IF($B66="",0,--(OR(任务!I47&lt;0,任务!I47&gt;100)))</f>
        <v>0</v>
      </c>
      <c r="G66" s="17">
        <f>IF($B66="",0,IF(ISNUMBER(SEARCH(",",任务!J47)),0,IF(任务!J47="",0,--(COUNTIF(任务!$A$2:$A$301,TRIM(任务!J47))=0))))</f>
        <v>0</v>
      </c>
      <c r="H66" s="17">
        <f>IF($B66="",0,--(NOT(ISNUMBER(任务!I47))))</f>
        <v>0</v>
      </c>
      <c r="I66" s="17">
        <f t="shared" si="1"/>
        <v>0</v>
      </c>
    </row>
    <row r="67" spans="1:9">
      <c r="A67" s="15">
        <f t="shared" si="0"/>
        <v>48</v>
      </c>
      <c r="B67" s="16" t="str">
        <f>IF(任务!A48="","",任务!A48)</f>
        <v/>
      </c>
      <c r="C67" s="17">
        <f>IF($B67="",0,--(COUNTIF(任务!$A$2:$A$301,$B67)&gt;1))</f>
        <v>0</v>
      </c>
      <c r="D67" s="17">
        <f>IF($B67="",0,--(OR(任务!B48="",任务!C48="",任务!E48="",任务!G48="",任务!H48="",NOT(ISNUMBER(任务!I48)))))</f>
        <v>0</v>
      </c>
      <c r="E67" s="17">
        <f>IF($B67="",0,--(AND(任务!G48&lt;&gt;"",任务!H48&lt;&gt;"",任务!G48&gt;任务!H48)))</f>
        <v>0</v>
      </c>
      <c r="F67" s="17">
        <f>IF($B67="",0,--(OR(任务!I48&lt;0,任务!I48&gt;100)))</f>
        <v>0</v>
      </c>
      <c r="G67" s="17">
        <f>IF($B67="",0,IF(ISNUMBER(SEARCH(",",任务!J48)),0,IF(任务!J48="",0,--(COUNTIF(任务!$A$2:$A$301,TRIM(任务!J48))=0))))</f>
        <v>0</v>
      </c>
      <c r="H67" s="17">
        <f>IF($B67="",0,--(NOT(ISNUMBER(任务!I48))))</f>
        <v>0</v>
      </c>
      <c r="I67" s="17">
        <f t="shared" si="1"/>
        <v>0</v>
      </c>
    </row>
    <row r="68" spans="1:9">
      <c r="A68" s="15">
        <f t="shared" si="0"/>
        <v>49</v>
      </c>
      <c r="B68" s="16" t="str">
        <f>IF(任务!A49="","",任务!A49)</f>
        <v/>
      </c>
      <c r="C68" s="17">
        <f>IF($B68="",0,--(COUNTIF(任务!$A$2:$A$301,$B68)&gt;1))</f>
        <v>0</v>
      </c>
      <c r="D68" s="17">
        <f>IF($B68="",0,--(OR(任务!B49="",任务!C49="",任务!E49="",任务!G49="",任务!H49="",NOT(ISNUMBER(任务!I49)))))</f>
        <v>0</v>
      </c>
      <c r="E68" s="17">
        <f>IF($B68="",0,--(AND(任务!G49&lt;&gt;"",任务!H49&lt;&gt;"",任务!G49&gt;任务!H49)))</f>
        <v>0</v>
      </c>
      <c r="F68" s="17">
        <f>IF($B68="",0,--(OR(任务!I49&lt;0,任务!I49&gt;100)))</f>
        <v>0</v>
      </c>
      <c r="G68" s="17">
        <f>IF($B68="",0,IF(ISNUMBER(SEARCH(",",任务!J49)),0,IF(任务!J49="",0,--(COUNTIF(任务!$A$2:$A$301,TRIM(任务!J49))=0))))</f>
        <v>0</v>
      </c>
      <c r="H68" s="17">
        <f>IF($B68="",0,--(NOT(ISNUMBER(任务!I49))))</f>
        <v>0</v>
      </c>
      <c r="I68" s="17">
        <f t="shared" si="1"/>
        <v>0</v>
      </c>
    </row>
    <row r="69" spans="1:9">
      <c r="A69" s="15">
        <f t="shared" si="0"/>
        <v>50</v>
      </c>
      <c r="B69" s="16" t="str">
        <f>IF(任务!A50="","",任务!A50)</f>
        <v/>
      </c>
      <c r="C69" s="17">
        <f>IF($B69="",0,--(COUNTIF(任务!$A$2:$A$301,$B69)&gt;1))</f>
        <v>0</v>
      </c>
      <c r="D69" s="17">
        <f>IF($B69="",0,--(OR(任务!B50="",任务!C50="",任务!E50="",任务!G50="",任务!H50="",NOT(ISNUMBER(任务!I50)))))</f>
        <v>0</v>
      </c>
      <c r="E69" s="17">
        <f>IF($B69="",0,--(AND(任务!G50&lt;&gt;"",任务!H50&lt;&gt;"",任务!G50&gt;任务!H50)))</f>
        <v>0</v>
      </c>
      <c r="F69" s="17">
        <f>IF($B69="",0,--(OR(任务!I50&lt;0,任务!I50&gt;100)))</f>
        <v>0</v>
      </c>
      <c r="G69" s="17">
        <f>IF($B69="",0,IF(ISNUMBER(SEARCH(",",任务!J50)),0,IF(任务!J50="",0,--(COUNTIF(任务!$A$2:$A$301,TRIM(任务!J50))=0))))</f>
        <v>0</v>
      </c>
      <c r="H69" s="17">
        <f>IF($B69="",0,--(NOT(ISNUMBER(任务!I50))))</f>
        <v>0</v>
      </c>
      <c r="I69" s="17">
        <f t="shared" si="1"/>
        <v>0</v>
      </c>
    </row>
    <row r="70" spans="1:9">
      <c r="A70" s="15">
        <f t="shared" si="0"/>
        <v>51</v>
      </c>
      <c r="B70" s="16" t="str">
        <f>IF(任务!A51="","",任务!A51)</f>
        <v/>
      </c>
      <c r="C70" s="17">
        <f>IF($B70="",0,--(COUNTIF(任务!$A$2:$A$301,$B70)&gt;1))</f>
        <v>0</v>
      </c>
      <c r="D70" s="17">
        <f>IF($B70="",0,--(OR(任务!B51="",任务!C51="",任务!E51="",任务!G51="",任务!H51="",NOT(ISNUMBER(任务!I51)))))</f>
        <v>0</v>
      </c>
      <c r="E70" s="17">
        <f>IF($B70="",0,--(AND(任务!G51&lt;&gt;"",任务!H51&lt;&gt;"",任务!G51&gt;任务!H51)))</f>
        <v>0</v>
      </c>
      <c r="F70" s="17">
        <f>IF($B70="",0,--(OR(任务!I51&lt;0,任务!I51&gt;100)))</f>
        <v>0</v>
      </c>
      <c r="G70" s="17">
        <f>IF($B70="",0,IF(ISNUMBER(SEARCH(",",任务!J51)),0,IF(任务!J51="",0,--(COUNTIF(任务!$A$2:$A$301,TRIM(任务!J51))=0))))</f>
        <v>0</v>
      </c>
      <c r="H70" s="17">
        <f>IF($B70="",0,--(NOT(ISNUMBER(任务!I51))))</f>
        <v>0</v>
      </c>
      <c r="I70" s="17">
        <f t="shared" si="1"/>
        <v>0</v>
      </c>
    </row>
    <row r="71" spans="1:9">
      <c r="A71" s="15">
        <f t="shared" si="0"/>
        <v>52</v>
      </c>
      <c r="B71" s="16" t="str">
        <f>IF(任务!A52="","",任务!A52)</f>
        <v/>
      </c>
      <c r="C71" s="17">
        <f>IF($B71="",0,--(COUNTIF(任务!$A$2:$A$301,$B71)&gt;1))</f>
        <v>0</v>
      </c>
      <c r="D71" s="17">
        <f>IF($B71="",0,--(OR(任务!B52="",任务!C52="",任务!E52="",任务!G52="",任务!H52="",NOT(ISNUMBER(任务!I52)))))</f>
        <v>0</v>
      </c>
      <c r="E71" s="17">
        <f>IF($B71="",0,--(AND(任务!G52&lt;&gt;"",任务!H52&lt;&gt;"",任务!G52&gt;任务!H52)))</f>
        <v>0</v>
      </c>
      <c r="F71" s="17">
        <f>IF($B71="",0,--(OR(任务!I52&lt;0,任务!I52&gt;100)))</f>
        <v>0</v>
      </c>
      <c r="G71" s="17">
        <f>IF($B71="",0,IF(ISNUMBER(SEARCH(",",任务!J52)),0,IF(任务!J52="",0,--(COUNTIF(任务!$A$2:$A$301,TRIM(任务!J52))=0))))</f>
        <v>0</v>
      </c>
      <c r="H71" s="17">
        <f>IF($B71="",0,--(NOT(ISNUMBER(任务!I52))))</f>
        <v>0</v>
      </c>
      <c r="I71" s="17">
        <f t="shared" si="1"/>
        <v>0</v>
      </c>
    </row>
    <row r="72" spans="1:9">
      <c r="A72" s="15">
        <f t="shared" si="0"/>
        <v>53</v>
      </c>
      <c r="B72" s="16" t="str">
        <f>IF(任务!A53="","",任务!A53)</f>
        <v/>
      </c>
      <c r="C72" s="17">
        <f>IF($B72="",0,--(COUNTIF(任务!$A$2:$A$301,$B72)&gt;1))</f>
        <v>0</v>
      </c>
      <c r="D72" s="17">
        <f>IF($B72="",0,--(OR(任务!B53="",任务!C53="",任务!E53="",任务!G53="",任务!H53="",NOT(ISNUMBER(任务!I53)))))</f>
        <v>0</v>
      </c>
      <c r="E72" s="17">
        <f>IF($B72="",0,--(AND(任务!G53&lt;&gt;"",任务!H53&lt;&gt;"",任务!G53&gt;任务!H53)))</f>
        <v>0</v>
      </c>
      <c r="F72" s="17">
        <f>IF($B72="",0,--(OR(任务!I53&lt;0,任务!I53&gt;100)))</f>
        <v>0</v>
      </c>
      <c r="G72" s="17">
        <f>IF($B72="",0,IF(ISNUMBER(SEARCH(",",任务!J53)),0,IF(任务!J53="",0,--(COUNTIF(任务!$A$2:$A$301,TRIM(任务!J53))=0))))</f>
        <v>0</v>
      </c>
      <c r="H72" s="17">
        <f>IF($B72="",0,--(NOT(ISNUMBER(任务!I53))))</f>
        <v>0</v>
      </c>
      <c r="I72" s="17">
        <f t="shared" si="1"/>
        <v>0</v>
      </c>
    </row>
    <row r="73" spans="1:9">
      <c r="A73" s="15">
        <f t="shared" si="0"/>
        <v>54</v>
      </c>
      <c r="B73" s="16" t="str">
        <f>IF(任务!A54="","",任务!A54)</f>
        <v/>
      </c>
      <c r="C73" s="17">
        <f>IF($B73="",0,--(COUNTIF(任务!$A$2:$A$301,$B73)&gt;1))</f>
        <v>0</v>
      </c>
      <c r="D73" s="17">
        <f>IF($B73="",0,--(OR(任务!B54="",任务!C54="",任务!E54="",任务!G54="",任务!H54="",NOT(ISNUMBER(任务!I54)))))</f>
        <v>0</v>
      </c>
      <c r="E73" s="17">
        <f>IF($B73="",0,--(AND(任务!G54&lt;&gt;"",任务!H54&lt;&gt;"",任务!G54&gt;任务!H54)))</f>
        <v>0</v>
      </c>
      <c r="F73" s="17">
        <f>IF($B73="",0,--(OR(任务!I54&lt;0,任务!I54&gt;100)))</f>
        <v>0</v>
      </c>
      <c r="G73" s="17">
        <f>IF($B73="",0,IF(ISNUMBER(SEARCH(",",任务!J54)),0,IF(任务!J54="",0,--(COUNTIF(任务!$A$2:$A$301,TRIM(任务!J54))=0))))</f>
        <v>0</v>
      </c>
      <c r="H73" s="17">
        <f>IF($B73="",0,--(NOT(ISNUMBER(任务!I54))))</f>
        <v>0</v>
      </c>
      <c r="I73" s="17">
        <f t="shared" si="1"/>
        <v>0</v>
      </c>
    </row>
    <row r="74" spans="1:9">
      <c r="A74" s="15">
        <f t="shared" si="0"/>
        <v>55</v>
      </c>
      <c r="B74" s="16" t="str">
        <f>IF(任务!A55="","",任务!A55)</f>
        <v/>
      </c>
      <c r="C74" s="17">
        <f>IF($B74="",0,--(COUNTIF(任务!$A$2:$A$301,$B74)&gt;1))</f>
        <v>0</v>
      </c>
      <c r="D74" s="17">
        <f>IF($B74="",0,--(OR(任务!B55="",任务!C55="",任务!E55="",任务!G55="",任务!H55="",NOT(ISNUMBER(任务!I55)))))</f>
        <v>0</v>
      </c>
      <c r="E74" s="17">
        <f>IF($B74="",0,--(AND(任务!G55&lt;&gt;"",任务!H55&lt;&gt;"",任务!G55&gt;任务!H55)))</f>
        <v>0</v>
      </c>
      <c r="F74" s="17">
        <f>IF($B74="",0,--(OR(任务!I55&lt;0,任务!I55&gt;100)))</f>
        <v>0</v>
      </c>
      <c r="G74" s="17">
        <f>IF($B74="",0,IF(ISNUMBER(SEARCH(",",任务!J55)),0,IF(任务!J55="",0,--(COUNTIF(任务!$A$2:$A$301,TRIM(任务!J55))=0))))</f>
        <v>0</v>
      </c>
      <c r="H74" s="17">
        <f>IF($B74="",0,--(NOT(ISNUMBER(任务!I55))))</f>
        <v>0</v>
      </c>
      <c r="I74" s="17">
        <f t="shared" si="1"/>
        <v>0</v>
      </c>
    </row>
    <row r="75" spans="1:9">
      <c r="A75" s="15">
        <f t="shared" si="0"/>
        <v>56</v>
      </c>
      <c r="B75" s="16" t="str">
        <f>IF(任务!A56="","",任务!A56)</f>
        <v/>
      </c>
      <c r="C75" s="17">
        <f>IF($B75="",0,--(COUNTIF(任务!$A$2:$A$301,$B75)&gt;1))</f>
        <v>0</v>
      </c>
      <c r="D75" s="17">
        <f>IF($B75="",0,--(OR(任务!B56="",任务!C56="",任务!E56="",任务!G56="",任务!H56="",NOT(ISNUMBER(任务!I56)))))</f>
        <v>0</v>
      </c>
      <c r="E75" s="17">
        <f>IF($B75="",0,--(AND(任务!G56&lt;&gt;"",任务!H56&lt;&gt;"",任务!G56&gt;任务!H56)))</f>
        <v>0</v>
      </c>
      <c r="F75" s="17">
        <f>IF($B75="",0,--(OR(任务!I56&lt;0,任务!I56&gt;100)))</f>
        <v>0</v>
      </c>
      <c r="G75" s="17">
        <f>IF($B75="",0,IF(ISNUMBER(SEARCH(",",任务!J56)),0,IF(任务!J56="",0,--(COUNTIF(任务!$A$2:$A$301,TRIM(任务!J56))=0))))</f>
        <v>0</v>
      </c>
      <c r="H75" s="17">
        <f>IF($B75="",0,--(NOT(ISNUMBER(任务!I56))))</f>
        <v>0</v>
      </c>
      <c r="I75" s="17">
        <f t="shared" si="1"/>
        <v>0</v>
      </c>
    </row>
    <row r="76" spans="1:9">
      <c r="A76" s="15">
        <f t="shared" si="0"/>
        <v>57</v>
      </c>
      <c r="B76" s="16" t="str">
        <f>IF(任务!A57="","",任务!A57)</f>
        <v/>
      </c>
      <c r="C76" s="17">
        <f>IF($B76="",0,--(COUNTIF(任务!$A$2:$A$301,$B76)&gt;1))</f>
        <v>0</v>
      </c>
      <c r="D76" s="17">
        <f>IF($B76="",0,--(OR(任务!B57="",任务!C57="",任务!E57="",任务!G57="",任务!H57="",NOT(ISNUMBER(任务!I57)))))</f>
        <v>0</v>
      </c>
      <c r="E76" s="17">
        <f>IF($B76="",0,--(AND(任务!G57&lt;&gt;"",任务!H57&lt;&gt;"",任务!G57&gt;任务!H57)))</f>
        <v>0</v>
      </c>
      <c r="F76" s="17">
        <f>IF($B76="",0,--(OR(任务!I57&lt;0,任务!I57&gt;100)))</f>
        <v>0</v>
      </c>
      <c r="G76" s="17">
        <f>IF($B76="",0,IF(ISNUMBER(SEARCH(",",任务!J57)),0,IF(任务!J57="",0,--(COUNTIF(任务!$A$2:$A$301,TRIM(任务!J57))=0))))</f>
        <v>0</v>
      </c>
      <c r="H76" s="17">
        <f>IF($B76="",0,--(NOT(ISNUMBER(任务!I57))))</f>
        <v>0</v>
      </c>
      <c r="I76" s="17">
        <f t="shared" si="1"/>
        <v>0</v>
      </c>
    </row>
    <row r="77" spans="1:9">
      <c r="A77" s="15">
        <f t="shared" si="0"/>
        <v>58</v>
      </c>
      <c r="B77" s="16" t="str">
        <f>IF(任务!A58="","",任务!A58)</f>
        <v/>
      </c>
      <c r="C77" s="17">
        <f>IF($B77="",0,--(COUNTIF(任务!$A$2:$A$301,$B77)&gt;1))</f>
        <v>0</v>
      </c>
      <c r="D77" s="17">
        <f>IF($B77="",0,--(OR(任务!B58="",任务!C58="",任务!E58="",任务!G58="",任务!H58="",NOT(ISNUMBER(任务!I58)))))</f>
        <v>0</v>
      </c>
      <c r="E77" s="17">
        <f>IF($B77="",0,--(AND(任务!G58&lt;&gt;"",任务!H58&lt;&gt;"",任务!G58&gt;任务!H58)))</f>
        <v>0</v>
      </c>
      <c r="F77" s="17">
        <f>IF($B77="",0,--(OR(任务!I58&lt;0,任务!I58&gt;100)))</f>
        <v>0</v>
      </c>
      <c r="G77" s="17">
        <f>IF($B77="",0,IF(ISNUMBER(SEARCH(",",任务!J58)),0,IF(任务!J58="",0,--(COUNTIF(任务!$A$2:$A$301,TRIM(任务!J58))=0))))</f>
        <v>0</v>
      </c>
      <c r="H77" s="17">
        <f>IF($B77="",0,--(NOT(ISNUMBER(任务!I58))))</f>
        <v>0</v>
      </c>
      <c r="I77" s="17">
        <f t="shared" si="1"/>
        <v>0</v>
      </c>
    </row>
    <row r="78" spans="1:9">
      <c r="A78" s="15">
        <f t="shared" si="0"/>
        <v>59</v>
      </c>
      <c r="B78" s="16" t="str">
        <f>IF(任务!A59="","",任务!A59)</f>
        <v/>
      </c>
      <c r="C78" s="17">
        <f>IF($B78="",0,--(COUNTIF(任务!$A$2:$A$301,$B78)&gt;1))</f>
        <v>0</v>
      </c>
      <c r="D78" s="17">
        <f>IF($B78="",0,--(OR(任务!B59="",任务!C59="",任务!E59="",任务!G59="",任务!H59="",NOT(ISNUMBER(任务!I59)))))</f>
        <v>0</v>
      </c>
      <c r="E78" s="17">
        <f>IF($B78="",0,--(AND(任务!G59&lt;&gt;"",任务!H59&lt;&gt;"",任务!G59&gt;任务!H59)))</f>
        <v>0</v>
      </c>
      <c r="F78" s="17">
        <f>IF($B78="",0,--(OR(任务!I59&lt;0,任务!I59&gt;100)))</f>
        <v>0</v>
      </c>
      <c r="G78" s="17">
        <f>IF($B78="",0,IF(ISNUMBER(SEARCH(",",任务!J59)),0,IF(任务!J59="",0,--(COUNTIF(任务!$A$2:$A$301,TRIM(任务!J59))=0))))</f>
        <v>0</v>
      </c>
      <c r="H78" s="17">
        <f>IF($B78="",0,--(NOT(ISNUMBER(任务!I59))))</f>
        <v>0</v>
      </c>
      <c r="I78" s="17">
        <f t="shared" si="1"/>
        <v>0</v>
      </c>
    </row>
    <row r="79" spans="1:9">
      <c r="A79" s="15">
        <f t="shared" si="0"/>
        <v>60</v>
      </c>
      <c r="B79" s="16" t="str">
        <f>IF(任务!A60="","",任务!A60)</f>
        <v/>
      </c>
      <c r="C79" s="17">
        <f>IF($B79="",0,--(COUNTIF(任务!$A$2:$A$301,$B79)&gt;1))</f>
        <v>0</v>
      </c>
      <c r="D79" s="17">
        <f>IF($B79="",0,--(OR(任务!B60="",任务!C60="",任务!E60="",任务!G60="",任务!H60="",NOT(ISNUMBER(任务!I60)))))</f>
        <v>0</v>
      </c>
      <c r="E79" s="17">
        <f>IF($B79="",0,--(AND(任务!G60&lt;&gt;"",任务!H60&lt;&gt;"",任务!G60&gt;任务!H60)))</f>
        <v>0</v>
      </c>
      <c r="F79" s="17">
        <f>IF($B79="",0,--(OR(任务!I60&lt;0,任务!I60&gt;100)))</f>
        <v>0</v>
      </c>
      <c r="G79" s="17">
        <f>IF($B79="",0,IF(ISNUMBER(SEARCH(",",任务!J60)),0,IF(任务!J60="",0,--(COUNTIF(任务!$A$2:$A$301,TRIM(任务!J60))=0))))</f>
        <v>0</v>
      </c>
      <c r="H79" s="17">
        <f>IF($B79="",0,--(NOT(ISNUMBER(任务!I60))))</f>
        <v>0</v>
      </c>
      <c r="I79" s="17">
        <f t="shared" si="1"/>
        <v>0</v>
      </c>
    </row>
    <row r="80" spans="1:9">
      <c r="A80" s="15">
        <f t="shared" si="0"/>
        <v>61</v>
      </c>
      <c r="B80" s="16" t="str">
        <f>IF(任务!A61="","",任务!A61)</f>
        <v/>
      </c>
      <c r="C80" s="17">
        <f>IF($B80="",0,--(COUNTIF(任务!$A$2:$A$301,$B80)&gt;1))</f>
        <v>0</v>
      </c>
      <c r="D80" s="17">
        <f>IF($B80="",0,--(OR(任务!B61="",任务!C61="",任务!E61="",任务!G61="",任务!H61="",NOT(ISNUMBER(任务!I61)))))</f>
        <v>0</v>
      </c>
      <c r="E80" s="17">
        <f>IF($B80="",0,--(AND(任务!G61&lt;&gt;"",任务!H61&lt;&gt;"",任务!G61&gt;任务!H61)))</f>
        <v>0</v>
      </c>
      <c r="F80" s="17">
        <f>IF($B80="",0,--(OR(任务!I61&lt;0,任务!I61&gt;100)))</f>
        <v>0</v>
      </c>
      <c r="G80" s="17">
        <f>IF($B80="",0,IF(ISNUMBER(SEARCH(",",任务!J61)),0,IF(任务!J61="",0,--(COUNTIF(任务!$A$2:$A$301,TRIM(任务!J61))=0))))</f>
        <v>0</v>
      </c>
      <c r="H80" s="17">
        <f>IF($B80="",0,--(NOT(ISNUMBER(任务!I61))))</f>
        <v>0</v>
      </c>
      <c r="I80" s="17">
        <f t="shared" si="1"/>
        <v>0</v>
      </c>
    </row>
    <row r="81" spans="1:9">
      <c r="A81" s="15">
        <f t="shared" si="0"/>
        <v>62</v>
      </c>
      <c r="B81" s="16" t="str">
        <f>IF(任务!A62="","",任务!A62)</f>
        <v/>
      </c>
      <c r="C81" s="17">
        <f>IF($B81="",0,--(COUNTIF(任务!$A$2:$A$301,$B81)&gt;1))</f>
        <v>0</v>
      </c>
      <c r="D81" s="17">
        <f>IF($B81="",0,--(OR(任务!B62="",任务!C62="",任务!E62="",任务!G62="",任务!H62="",NOT(ISNUMBER(任务!I62)))))</f>
        <v>0</v>
      </c>
      <c r="E81" s="17">
        <f>IF($B81="",0,--(AND(任务!G62&lt;&gt;"",任务!H62&lt;&gt;"",任务!G62&gt;任务!H62)))</f>
        <v>0</v>
      </c>
      <c r="F81" s="17">
        <f>IF($B81="",0,--(OR(任务!I62&lt;0,任务!I62&gt;100)))</f>
        <v>0</v>
      </c>
      <c r="G81" s="17">
        <f>IF($B81="",0,IF(ISNUMBER(SEARCH(",",任务!J62)),0,IF(任务!J62="",0,--(COUNTIF(任务!$A$2:$A$301,TRIM(任务!J62))=0))))</f>
        <v>0</v>
      </c>
      <c r="H81" s="17">
        <f>IF($B81="",0,--(NOT(ISNUMBER(任务!I62))))</f>
        <v>0</v>
      </c>
      <c r="I81" s="17">
        <f t="shared" si="1"/>
        <v>0</v>
      </c>
    </row>
    <row r="82" spans="1:9">
      <c r="A82" s="15">
        <f t="shared" si="0"/>
        <v>63</v>
      </c>
      <c r="B82" s="16" t="str">
        <f>IF(任务!A63="","",任务!A63)</f>
        <v/>
      </c>
      <c r="C82" s="17">
        <f>IF($B82="",0,--(COUNTIF(任务!$A$2:$A$301,$B82)&gt;1))</f>
        <v>0</v>
      </c>
      <c r="D82" s="17">
        <f>IF($B82="",0,--(OR(任务!B63="",任务!C63="",任务!E63="",任务!G63="",任务!H63="",NOT(ISNUMBER(任务!I63)))))</f>
        <v>0</v>
      </c>
      <c r="E82" s="17">
        <f>IF($B82="",0,--(AND(任务!G63&lt;&gt;"",任务!H63&lt;&gt;"",任务!G63&gt;任务!H63)))</f>
        <v>0</v>
      </c>
      <c r="F82" s="17">
        <f>IF($B82="",0,--(OR(任务!I63&lt;0,任务!I63&gt;100)))</f>
        <v>0</v>
      </c>
      <c r="G82" s="17">
        <f>IF($B82="",0,IF(ISNUMBER(SEARCH(",",任务!J63)),0,IF(任务!J63="",0,--(COUNTIF(任务!$A$2:$A$301,TRIM(任务!J63))=0))))</f>
        <v>0</v>
      </c>
      <c r="H82" s="17">
        <f>IF($B82="",0,--(NOT(ISNUMBER(任务!I63))))</f>
        <v>0</v>
      </c>
      <c r="I82" s="17">
        <f t="shared" si="1"/>
        <v>0</v>
      </c>
    </row>
    <row r="83" spans="1:9">
      <c r="A83" s="15">
        <f t="shared" si="0"/>
        <v>64</v>
      </c>
      <c r="B83" s="16" t="str">
        <f>IF(任务!A64="","",任务!A64)</f>
        <v/>
      </c>
      <c r="C83" s="17">
        <f>IF($B83="",0,--(COUNTIF(任务!$A$2:$A$301,$B83)&gt;1))</f>
        <v>0</v>
      </c>
      <c r="D83" s="17">
        <f>IF($B83="",0,--(OR(任务!B64="",任务!C64="",任务!E64="",任务!G64="",任务!H64="",NOT(ISNUMBER(任务!I64)))))</f>
        <v>0</v>
      </c>
      <c r="E83" s="17">
        <f>IF($B83="",0,--(AND(任务!G64&lt;&gt;"",任务!H64&lt;&gt;"",任务!G64&gt;任务!H64)))</f>
        <v>0</v>
      </c>
      <c r="F83" s="17">
        <f>IF($B83="",0,--(OR(任务!I64&lt;0,任务!I64&gt;100)))</f>
        <v>0</v>
      </c>
      <c r="G83" s="17">
        <f>IF($B83="",0,IF(ISNUMBER(SEARCH(",",任务!J64)),0,IF(任务!J64="",0,--(COUNTIF(任务!$A$2:$A$301,TRIM(任务!J64))=0))))</f>
        <v>0</v>
      </c>
      <c r="H83" s="17">
        <f>IF($B83="",0,--(NOT(ISNUMBER(任务!I64))))</f>
        <v>0</v>
      </c>
      <c r="I83" s="17">
        <f t="shared" si="1"/>
        <v>0</v>
      </c>
    </row>
    <row r="84" spans="1:9">
      <c r="A84" s="15">
        <f t="shared" si="0"/>
        <v>65</v>
      </c>
      <c r="B84" s="16" t="str">
        <f>IF(任务!A65="","",任务!A65)</f>
        <v/>
      </c>
      <c r="C84" s="17">
        <f>IF($B84="",0,--(COUNTIF(任务!$A$2:$A$301,$B84)&gt;1))</f>
        <v>0</v>
      </c>
      <c r="D84" s="17">
        <f>IF($B84="",0,--(OR(任务!B65="",任务!C65="",任务!E65="",任务!G65="",任务!H65="",NOT(ISNUMBER(任务!I65)))))</f>
        <v>0</v>
      </c>
      <c r="E84" s="17">
        <f>IF($B84="",0,--(AND(任务!G65&lt;&gt;"",任务!H65&lt;&gt;"",任务!G65&gt;任务!H65)))</f>
        <v>0</v>
      </c>
      <c r="F84" s="17">
        <f>IF($B84="",0,--(OR(任务!I65&lt;0,任务!I65&gt;100)))</f>
        <v>0</v>
      </c>
      <c r="G84" s="17">
        <f>IF($B84="",0,IF(ISNUMBER(SEARCH(",",任务!J65)),0,IF(任务!J65="",0,--(COUNTIF(任务!$A$2:$A$301,TRIM(任务!J65))=0))))</f>
        <v>0</v>
      </c>
      <c r="H84" s="17">
        <f>IF($B84="",0,--(NOT(ISNUMBER(任务!I65))))</f>
        <v>0</v>
      </c>
      <c r="I84" s="17">
        <f t="shared" si="1"/>
        <v>0</v>
      </c>
    </row>
    <row r="85" spans="1:9">
      <c r="A85" s="15">
        <f t="shared" ref="A85:A148" si="2">ROW()-19</f>
        <v>66</v>
      </c>
      <c r="B85" s="16" t="str">
        <f>IF(任务!A66="","",任务!A66)</f>
        <v/>
      </c>
      <c r="C85" s="17">
        <f>IF($B85="",0,--(COUNTIF(任务!$A$2:$A$301,$B85)&gt;1))</f>
        <v>0</v>
      </c>
      <c r="D85" s="17">
        <f>IF($B85="",0,--(OR(任务!B66="",任务!C66="",任务!E66="",任务!G66="",任务!H66="",NOT(ISNUMBER(任务!I66)))))</f>
        <v>0</v>
      </c>
      <c r="E85" s="17">
        <f>IF($B85="",0,--(AND(任务!G66&lt;&gt;"",任务!H66&lt;&gt;"",任务!G66&gt;任务!H66)))</f>
        <v>0</v>
      </c>
      <c r="F85" s="17">
        <f>IF($B85="",0,--(OR(任务!I66&lt;0,任务!I66&gt;100)))</f>
        <v>0</v>
      </c>
      <c r="G85" s="17">
        <f>IF($B85="",0,IF(ISNUMBER(SEARCH(",",任务!J66)),0,IF(任务!J66="",0,--(COUNTIF(任务!$A$2:$A$301,TRIM(任务!J66))=0))))</f>
        <v>0</v>
      </c>
      <c r="H85" s="17">
        <f>IF($B85="",0,--(NOT(ISNUMBER(任务!I66))))</f>
        <v>0</v>
      </c>
      <c r="I85" s="17">
        <f t="shared" ref="I85:I148" si="3">IF($B85="",0,C85+D85+E85+F85+G85+I85)</f>
        <v>0</v>
      </c>
    </row>
    <row r="86" spans="1:9">
      <c r="A86" s="15">
        <f t="shared" si="2"/>
        <v>67</v>
      </c>
      <c r="B86" s="16" t="str">
        <f>IF(任务!A67="","",任务!A67)</f>
        <v/>
      </c>
      <c r="C86" s="17">
        <f>IF($B86="",0,--(COUNTIF(任务!$A$2:$A$301,$B86)&gt;1))</f>
        <v>0</v>
      </c>
      <c r="D86" s="17">
        <f>IF($B86="",0,--(OR(任务!B67="",任务!C67="",任务!E67="",任务!G67="",任务!H67="",NOT(ISNUMBER(任务!I67)))))</f>
        <v>0</v>
      </c>
      <c r="E86" s="17">
        <f>IF($B86="",0,--(AND(任务!G67&lt;&gt;"",任务!H67&lt;&gt;"",任务!G67&gt;任务!H67)))</f>
        <v>0</v>
      </c>
      <c r="F86" s="17">
        <f>IF($B86="",0,--(OR(任务!I67&lt;0,任务!I67&gt;100)))</f>
        <v>0</v>
      </c>
      <c r="G86" s="17">
        <f>IF($B86="",0,IF(ISNUMBER(SEARCH(",",任务!J67)),0,IF(任务!J67="",0,--(COUNTIF(任务!$A$2:$A$301,TRIM(任务!J67))=0))))</f>
        <v>0</v>
      </c>
      <c r="H86" s="17">
        <f>IF($B86="",0,--(NOT(ISNUMBER(任务!I67))))</f>
        <v>0</v>
      </c>
      <c r="I86" s="17">
        <f t="shared" si="3"/>
        <v>0</v>
      </c>
    </row>
    <row r="87" spans="1:9">
      <c r="A87" s="15">
        <f t="shared" si="2"/>
        <v>68</v>
      </c>
      <c r="B87" s="16" t="str">
        <f>IF(任务!A68="","",任务!A68)</f>
        <v/>
      </c>
      <c r="C87" s="17">
        <f>IF($B87="",0,--(COUNTIF(任务!$A$2:$A$301,$B87)&gt;1))</f>
        <v>0</v>
      </c>
      <c r="D87" s="17">
        <f>IF($B87="",0,--(OR(任务!B68="",任务!C68="",任务!E68="",任务!G68="",任务!H68="",NOT(ISNUMBER(任务!I68)))))</f>
        <v>0</v>
      </c>
      <c r="E87" s="17">
        <f>IF($B87="",0,--(AND(任务!G68&lt;&gt;"",任务!H68&lt;&gt;"",任务!G68&gt;任务!H68)))</f>
        <v>0</v>
      </c>
      <c r="F87" s="17">
        <f>IF($B87="",0,--(OR(任务!I68&lt;0,任务!I68&gt;100)))</f>
        <v>0</v>
      </c>
      <c r="G87" s="17">
        <f>IF($B87="",0,IF(ISNUMBER(SEARCH(",",任务!J68)),0,IF(任务!J68="",0,--(COUNTIF(任务!$A$2:$A$301,TRIM(任务!J68))=0))))</f>
        <v>0</v>
      </c>
      <c r="H87" s="17">
        <f>IF($B87="",0,--(NOT(ISNUMBER(任务!I68))))</f>
        <v>0</v>
      </c>
      <c r="I87" s="17">
        <f t="shared" si="3"/>
        <v>0</v>
      </c>
    </row>
    <row r="88" spans="1:9">
      <c r="A88" s="15">
        <f t="shared" si="2"/>
        <v>69</v>
      </c>
      <c r="B88" s="16" t="str">
        <f>IF(任务!A69="","",任务!A69)</f>
        <v/>
      </c>
      <c r="C88" s="17">
        <f>IF($B88="",0,--(COUNTIF(任务!$A$2:$A$301,$B88)&gt;1))</f>
        <v>0</v>
      </c>
      <c r="D88" s="17">
        <f>IF($B88="",0,--(OR(任务!B69="",任务!C69="",任务!E69="",任务!G69="",任务!H69="",NOT(ISNUMBER(任务!I69)))))</f>
        <v>0</v>
      </c>
      <c r="E88" s="17">
        <f>IF($B88="",0,--(AND(任务!G69&lt;&gt;"",任务!H69&lt;&gt;"",任务!G69&gt;任务!H69)))</f>
        <v>0</v>
      </c>
      <c r="F88" s="17">
        <f>IF($B88="",0,--(OR(任务!I69&lt;0,任务!I69&gt;100)))</f>
        <v>0</v>
      </c>
      <c r="G88" s="17">
        <f>IF($B88="",0,IF(ISNUMBER(SEARCH(",",任务!J69)),0,IF(任务!J69="",0,--(COUNTIF(任务!$A$2:$A$301,TRIM(任务!J69))=0))))</f>
        <v>0</v>
      </c>
      <c r="H88" s="17">
        <f>IF($B88="",0,--(NOT(ISNUMBER(任务!I69))))</f>
        <v>0</v>
      </c>
      <c r="I88" s="17">
        <f t="shared" si="3"/>
        <v>0</v>
      </c>
    </row>
    <row r="89" spans="1:9">
      <c r="A89" s="15">
        <f t="shared" si="2"/>
        <v>70</v>
      </c>
      <c r="B89" s="16" t="str">
        <f>IF(任务!A70="","",任务!A70)</f>
        <v/>
      </c>
      <c r="C89" s="17">
        <f>IF($B89="",0,--(COUNTIF(任务!$A$2:$A$301,$B89)&gt;1))</f>
        <v>0</v>
      </c>
      <c r="D89" s="17">
        <f>IF($B89="",0,--(OR(任务!B70="",任务!C70="",任务!E70="",任务!G70="",任务!H70="",NOT(ISNUMBER(任务!I70)))))</f>
        <v>0</v>
      </c>
      <c r="E89" s="17">
        <f>IF($B89="",0,--(AND(任务!G70&lt;&gt;"",任务!H70&lt;&gt;"",任务!G70&gt;任务!H70)))</f>
        <v>0</v>
      </c>
      <c r="F89" s="17">
        <f>IF($B89="",0,--(OR(任务!I70&lt;0,任务!I70&gt;100)))</f>
        <v>0</v>
      </c>
      <c r="G89" s="17">
        <f>IF($B89="",0,IF(ISNUMBER(SEARCH(",",任务!J70)),0,IF(任务!J70="",0,--(COUNTIF(任务!$A$2:$A$301,TRIM(任务!J70))=0))))</f>
        <v>0</v>
      </c>
      <c r="H89" s="17">
        <f>IF($B89="",0,--(NOT(ISNUMBER(任务!I70))))</f>
        <v>0</v>
      </c>
      <c r="I89" s="17">
        <f t="shared" si="3"/>
        <v>0</v>
      </c>
    </row>
    <row r="90" spans="1:9">
      <c r="A90" s="15">
        <f t="shared" si="2"/>
        <v>71</v>
      </c>
      <c r="B90" s="16" t="str">
        <f>IF(任务!A71="","",任务!A71)</f>
        <v/>
      </c>
      <c r="C90" s="17">
        <f>IF($B90="",0,--(COUNTIF(任务!$A$2:$A$301,$B90)&gt;1))</f>
        <v>0</v>
      </c>
      <c r="D90" s="17">
        <f>IF($B90="",0,--(OR(任务!B71="",任务!C71="",任务!E71="",任务!G71="",任务!H71="",NOT(ISNUMBER(任务!I71)))))</f>
        <v>0</v>
      </c>
      <c r="E90" s="17">
        <f>IF($B90="",0,--(AND(任务!G71&lt;&gt;"",任务!H71&lt;&gt;"",任务!G71&gt;任务!H71)))</f>
        <v>0</v>
      </c>
      <c r="F90" s="17">
        <f>IF($B90="",0,--(OR(任务!I71&lt;0,任务!I71&gt;100)))</f>
        <v>0</v>
      </c>
      <c r="G90" s="17">
        <f>IF($B90="",0,IF(ISNUMBER(SEARCH(",",任务!J71)),0,IF(任务!J71="",0,--(COUNTIF(任务!$A$2:$A$301,TRIM(任务!J71))=0))))</f>
        <v>0</v>
      </c>
      <c r="H90" s="17">
        <f>IF($B90="",0,--(NOT(ISNUMBER(任务!I71))))</f>
        <v>0</v>
      </c>
      <c r="I90" s="17">
        <f t="shared" si="3"/>
        <v>0</v>
      </c>
    </row>
    <row r="91" spans="1:9">
      <c r="A91" s="15">
        <f t="shared" si="2"/>
        <v>72</v>
      </c>
      <c r="B91" s="16" t="str">
        <f>IF(任务!A72="","",任务!A72)</f>
        <v/>
      </c>
      <c r="C91" s="17">
        <f>IF($B91="",0,--(COUNTIF(任务!$A$2:$A$301,$B91)&gt;1))</f>
        <v>0</v>
      </c>
      <c r="D91" s="17">
        <f>IF($B91="",0,--(OR(任务!B72="",任务!C72="",任务!E72="",任务!G72="",任务!H72="",NOT(ISNUMBER(任务!I72)))))</f>
        <v>0</v>
      </c>
      <c r="E91" s="17">
        <f>IF($B91="",0,--(AND(任务!G72&lt;&gt;"",任务!H72&lt;&gt;"",任务!G72&gt;任务!H72)))</f>
        <v>0</v>
      </c>
      <c r="F91" s="17">
        <f>IF($B91="",0,--(OR(任务!I72&lt;0,任务!I72&gt;100)))</f>
        <v>0</v>
      </c>
      <c r="G91" s="17">
        <f>IF($B91="",0,IF(ISNUMBER(SEARCH(",",任务!J72)),0,IF(任务!J72="",0,--(COUNTIF(任务!$A$2:$A$301,TRIM(任务!J72))=0))))</f>
        <v>0</v>
      </c>
      <c r="H91" s="17">
        <f>IF($B91="",0,--(NOT(ISNUMBER(任务!I72))))</f>
        <v>0</v>
      </c>
      <c r="I91" s="17">
        <f t="shared" si="3"/>
        <v>0</v>
      </c>
    </row>
    <row r="92" spans="1:9">
      <c r="A92" s="15">
        <f t="shared" si="2"/>
        <v>73</v>
      </c>
      <c r="B92" s="16" t="str">
        <f>IF(任务!A73="","",任务!A73)</f>
        <v/>
      </c>
      <c r="C92" s="17">
        <f>IF($B92="",0,--(COUNTIF(任务!$A$2:$A$301,$B92)&gt;1))</f>
        <v>0</v>
      </c>
      <c r="D92" s="17">
        <f>IF($B92="",0,--(OR(任务!B73="",任务!C73="",任务!E73="",任务!G73="",任务!H73="",NOT(ISNUMBER(任务!I73)))))</f>
        <v>0</v>
      </c>
      <c r="E92" s="17">
        <f>IF($B92="",0,--(AND(任务!G73&lt;&gt;"",任务!H73&lt;&gt;"",任务!G73&gt;任务!H73)))</f>
        <v>0</v>
      </c>
      <c r="F92" s="17">
        <f>IF($B92="",0,--(OR(任务!I73&lt;0,任务!I73&gt;100)))</f>
        <v>0</v>
      </c>
      <c r="G92" s="17">
        <f>IF($B92="",0,IF(ISNUMBER(SEARCH(",",任务!J73)),0,IF(任务!J73="",0,--(COUNTIF(任务!$A$2:$A$301,TRIM(任务!J73))=0))))</f>
        <v>0</v>
      </c>
      <c r="H92" s="17">
        <f>IF($B92="",0,--(NOT(ISNUMBER(任务!I73))))</f>
        <v>0</v>
      </c>
      <c r="I92" s="17">
        <f t="shared" si="3"/>
        <v>0</v>
      </c>
    </row>
    <row r="93" spans="1:9">
      <c r="A93" s="15">
        <f t="shared" si="2"/>
        <v>74</v>
      </c>
      <c r="B93" s="16" t="str">
        <f>IF(任务!A74="","",任务!A74)</f>
        <v/>
      </c>
      <c r="C93" s="17">
        <f>IF($B93="",0,--(COUNTIF(任务!$A$2:$A$301,$B93)&gt;1))</f>
        <v>0</v>
      </c>
      <c r="D93" s="17">
        <f>IF($B93="",0,--(OR(任务!B74="",任务!C74="",任务!E74="",任务!G74="",任务!H74="",NOT(ISNUMBER(任务!I74)))))</f>
        <v>0</v>
      </c>
      <c r="E93" s="17">
        <f>IF($B93="",0,--(AND(任务!G74&lt;&gt;"",任务!H74&lt;&gt;"",任务!G74&gt;任务!H74)))</f>
        <v>0</v>
      </c>
      <c r="F93" s="17">
        <f>IF($B93="",0,--(OR(任务!I74&lt;0,任务!I74&gt;100)))</f>
        <v>0</v>
      </c>
      <c r="G93" s="17">
        <f>IF($B93="",0,IF(ISNUMBER(SEARCH(",",任务!J74)),0,IF(任务!J74="",0,--(COUNTIF(任务!$A$2:$A$301,TRIM(任务!J74))=0))))</f>
        <v>0</v>
      </c>
      <c r="H93" s="17">
        <f>IF($B93="",0,--(NOT(ISNUMBER(任务!I74))))</f>
        <v>0</v>
      </c>
      <c r="I93" s="17">
        <f t="shared" si="3"/>
        <v>0</v>
      </c>
    </row>
    <row r="94" spans="1:9">
      <c r="A94" s="15">
        <f t="shared" si="2"/>
        <v>75</v>
      </c>
      <c r="B94" s="16" t="str">
        <f>IF(任务!A75="","",任务!A75)</f>
        <v/>
      </c>
      <c r="C94" s="17">
        <f>IF($B94="",0,--(COUNTIF(任务!$A$2:$A$301,$B94)&gt;1))</f>
        <v>0</v>
      </c>
      <c r="D94" s="17">
        <f>IF($B94="",0,--(OR(任务!B75="",任务!C75="",任务!E75="",任务!G75="",任务!H75="",NOT(ISNUMBER(任务!I75)))))</f>
        <v>0</v>
      </c>
      <c r="E94" s="17">
        <f>IF($B94="",0,--(AND(任务!G75&lt;&gt;"",任务!H75&lt;&gt;"",任务!G75&gt;任务!H75)))</f>
        <v>0</v>
      </c>
      <c r="F94" s="17">
        <f>IF($B94="",0,--(OR(任务!I75&lt;0,任务!I75&gt;100)))</f>
        <v>0</v>
      </c>
      <c r="G94" s="17">
        <f>IF($B94="",0,IF(ISNUMBER(SEARCH(",",任务!J75)),0,IF(任务!J75="",0,--(COUNTIF(任务!$A$2:$A$301,TRIM(任务!J75))=0))))</f>
        <v>0</v>
      </c>
      <c r="H94" s="17">
        <f>IF($B94="",0,--(NOT(ISNUMBER(任务!I75))))</f>
        <v>0</v>
      </c>
      <c r="I94" s="17">
        <f t="shared" si="3"/>
        <v>0</v>
      </c>
    </row>
    <row r="95" spans="1:9">
      <c r="A95" s="15">
        <f t="shared" si="2"/>
        <v>76</v>
      </c>
      <c r="B95" s="16" t="str">
        <f>IF(任务!A76="","",任务!A76)</f>
        <v/>
      </c>
      <c r="C95" s="17">
        <f>IF($B95="",0,--(COUNTIF(任务!$A$2:$A$301,$B95)&gt;1))</f>
        <v>0</v>
      </c>
      <c r="D95" s="17">
        <f>IF($B95="",0,--(OR(任务!B76="",任务!C76="",任务!E76="",任务!G76="",任务!H76="",NOT(ISNUMBER(任务!I76)))))</f>
        <v>0</v>
      </c>
      <c r="E95" s="17">
        <f>IF($B95="",0,--(AND(任务!G76&lt;&gt;"",任务!H76&lt;&gt;"",任务!G76&gt;任务!H76)))</f>
        <v>0</v>
      </c>
      <c r="F95" s="17">
        <f>IF($B95="",0,--(OR(任务!I76&lt;0,任务!I76&gt;100)))</f>
        <v>0</v>
      </c>
      <c r="G95" s="17">
        <f>IF($B95="",0,IF(ISNUMBER(SEARCH(",",任务!J76)),0,IF(任务!J76="",0,--(COUNTIF(任务!$A$2:$A$301,TRIM(任务!J76))=0))))</f>
        <v>0</v>
      </c>
      <c r="H95" s="17">
        <f>IF($B95="",0,--(NOT(ISNUMBER(任务!I76))))</f>
        <v>0</v>
      </c>
      <c r="I95" s="17">
        <f t="shared" si="3"/>
        <v>0</v>
      </c>
    </row>
    <row r="96" spans="1:9">
      <c r="A96" s="15">
        <f t="shared" si="2"/>
        <v>77</v>
      </c>
      <c r="B96" s="16" t="str">
        <f>IF(任务!A77="","",任务!A77)</f>
        <v/>
      </c>
      <c r="C96" s="17">
        <f>IF($B96="",0,--(COUNTIF(任务!$A$2:$A$301,$B96)&gt;1))</f>
        <v>0</v>
      </c>
      <c r="D96" s="17">
        <f>IF($B96="",0,--(OR(任务!B77="",任务!C77="",任务!E77="",任务!G77="",任务!H77="",NOT(ISNUMBER(任务!I77)))))</f>
        <v>0</v>
      </c>
      <c r="E96" s="17">
        <f>IF($B96="",0,--(AND(任务!G77&lt;&gt;"",任务!H77&lt;&gt;"",任务!G77&gt;任务!H77)))</f>
        <v>0</v>
      </c>
      <c r="F96" s="17">
        <f>IF($B96="",0,--(OR(任务!I77&lt;0,任务!I77&gt;100)))</f>
        <v>0</v>
      </c>
      <c r="G96" s="17">
        <f>IF($B96="",0,IF(ISNUMBER(SEARCH(",",任务!J77)),0,IF(任务!J77="",0,--(COUNTIF(任务!$A$2:$A$301,TRIM(任务!J77))=0))))</f>
        <v>0</v>
      </c>
      <c r="H96" s="17">
        <f>IF($B96="",0,--(NOT(ISNUMBER(任务!I77))))</f>
        <v>0</v>
      </c>
      <c r="I96" s="17">
        <f t="shared" si="3"/>
        <v>0</v>
      </c>
    </row>
    <row r="97" spans="1:9">
      <c r="A97" s="15">
        <f t="shared" si="2"/>
        <v>78</v>
      </c>
      <c r="B97" s="16" t="str">
        <f>IF(任务!A78="","",任务!A78)</f>
        <v/>
      </c>
      <c r="C97" s="17">
        <f>IF($B97="",0,--(COUNTIF(任务!$A$2:$A$301,$B97)&gt;1))</f>
        <v>0</v>
      </c>
      <c r="D97" s="17">
        <f>IF($B97="",0,--(OR(任务!B78="",任务!C78="",任务!E78="",任务!G78="",任务!H78="",NOT(ISNUMBER(任务!I78)))))</f>
        <v>0</v>
      </c>
      <c r="E97" s="17">
        <f>IF($B97="",0,--(AND(任务!G78&lt;&gt;"",任务!H78&lt;&gt;"",任务!G78&gt;任务!H78)))</f>
        <v>0</v>
      </c>
      <c r="F97" s="17">
        <f>IF($B97="",0,--(OR(任务!I78&lt;0,任务!I78&gt;100)))</f>
        <v>0</v>
      </c>
      <c r="G97" s="17">
        <f>IF($B97="",0,IF(ISNUMBER(SEARCH(",",任务!J78)),0,IF(任务!J78="",0,--(COUNTIF(任务!$A$2:$A$301,TRIM(任务!J78))=0))))</f>
        <v>0</v>
      </c>
      <c r="H97" s="17">
        <f>IF($B97="",0,--(NOT(ISNUMBER(任务!I78))))</f>
        <v>0</v>
      </c>
      <c r="I97" s="17">
        <f t="shared" si="3"/>
        <v>0</v>
      </c>
    </row>
    <row r="98" spans="1:9">
      <c r="A98" s="15">
        <f t="shared" si="2"/>
        <v>79</v>
      </c>
      <c r="B98" s="16" t="str">
        <f>IF(任务!A79="","",任务!A79)</f>
        <v/>
      </c>
      <c r="C98" s="17">
        <f>IF($B98="",0,--(COUNTIF(任务!$A$2:$A$301,$B98)&gt;1))</f>
        <v>0</v>
      </c>
      <c r="D98" s="17">
        <f>IF($B98="",0,--(OR(任务!B79="",任务!C79="",任务!E79="",任务!G79="",任务!H79="",NOT(ISNUMBER(任务!I79)))))</f>
        <v>0</v>
      </c>
      <c r="E98" s="17">
        <f>IF($B98="",0,--(AND(任务!G79&lt;&gt;"",任务!H79&lt;&gt;"",任务!G79&gt;任务!H79)))</f>
        <v>0</v>
      </c>
      <c r="F98" s="17">
        <f>IF($B98="",0,--(OR(任务!I79&lt;0,任务!I79&gt;100)))</f>
        <v>0</v>
      </c>
      <c r="G98" s="17">
        <f>IF($B98="",0,IF(ISNUMBER(SEARCH(",",任务!J79)),0,IF(任务!J79="",0,--(COUNTIF(任务!$A$2:$A$301,TRIM(任务!J79))=0))))</f>
        <v>0</v>
      </c>
      <c r="H98" s="17">
        <f>IF($B98="",0,--(NOT(ISNUMBER(任务!I79))))</f>
        <v>0</v>
      </c>
      <c r="I98" s="17">
        <f t="shared" si="3"/>
        <v>0</v>
      </c>
    </row>
    <row r="99" spans="1:9">
      <c r="A99" s="15">
        <f t="shared" si="2"/>
        <v>80</v>
      </c>
      <c r="B99" s="16" t="str">
        <f>IF(任务!A80="","",任务!A80)</f>
        <v/>
      </c>
      <c r="C99" s="17">
        <f>IF($B99="",0,--(COUNTIF(任务!$A$2:$A$301,$B99)&gt;1))</f>
        <v>0</v>
      </c>
      <c r="D99" s="17">
        <f>IF($B99="",0,--(OR(任务!B80="",任务!C80="",任务!E80="",任务!G80="",任务!H80="",NOT(ISNUMBER(任务!I80)))))</f>
        <v>0</v>
      </c>
      <c r="E99" s="17">
        <f>IF($B99="",0,--(AND(任务!G80&lt;&gt;"",任务!H80&lt;&gt;"",任务!G80&gt;任务!H80)))</f>
        <v>0</v>
      </c>
      <c r="F99" s="17">
        <f>IF($B99="",0,--(OR(任务!I80&lt;0,任务!I80&gt;100)))</f>
        <v>0</v>
      </c>
      <c r="G99" s="17">
        <f>IF($B99="",0,IF(ISNUMBER(SEARCH(",",任务!J80)),0,IF(任务!J80="",0,--(COUNTIF(任务!$A$2:$A$301,TRIM(任务!J80))=0))))</f>
        <v>0</v>
      </c>
      <c r="H99" s="17">
        <f>IF($B99="",0,--(NOT(ISNUMBER(任务!I80))))</f>
        <v>0</v>
      </c>
      <c r="I99" s="17">
        <f t="shared" si="3"/>
        <v>0</v>
      </c>
    </row>
    <row r="100" spans="1:9">
      <c r="A100" s="15">
        <f t="shared" si="2"/>
        <v>81</v>
      </c>
      <c r="B100" s="16" t="str">
        <f>IF(任务!A81="","",任务!A81)</f>
        <v/>
      </c>
      <c r="C100" s="17">
        <f>IF($B100="",0,--(COUNTIF(任务!$A$2:$A$301,$B100)&gt;1))</f>
        <v>0</v>
      </c>
      <c r="D100" s="17">
        <f>IF($B100="",0,--(OR(任务!B81="",任务!C81="",任务!E81="",任务!G81="",任务!H81="",NOT(ISNUMBER(任务!I81)))))</f>
        <v>0</v>
      </c>
      <c r="E100" s="17">
        <f>IF($B100="",0,--(AND(任务!G81&lt;&gt;"",任务!H81&lt;&gt;"",任务!G81&gt;任务!H81)))</f>
        <v>0</v>
      </c>
      <c r="F100" s="17">
        <f>IF($B100="",0,--(OR(任务!I81&lt;0,任务!I81&gt;100)))</f>
        <v>0</v>
      </c>
      <c r="G100" s="17">
        <f>IF($B100="",0,IF(ISNUMBER(SEARCH(",",任务!J81)),0,IF(任务!J81="",0,--(COUNTIF(任务!$A$2:$A$301,TRIM(任务!J81))=0))))</f>
        <v>0</v>
      </c>
      <c r="H100" s="17">
        <f>IF($B100="",0,--(NOT(ISNUMBER(任务!I81))))</f>
        <v>0</v>
      </c>
      <c r="I100" s="17">
        <f t="shared" si="3"/>
        <v>0</v>
      </c>
    </row>
    <row r="101" spans="1:9">
      <c r="A101" s="15">
        <f t="shared" si="2"/>
        <v>82</v>
      </c>
      <c r="B101" s="16" t="str">
        <f>IF(任务!A82="","",任务!A82)</f>
        <v/>
      </c>
      <c r="C101" s="17">
        <f>IF($B101="",0,--(COUNTIF(任务!$A$2:$A$301,$B101)&gt;1))</f>
        <v>0</v>
      </c>
      <c r="D101" s="17">
        <f>IF($B101="",0,--(OR(任务!B82="",任务!C82="",任务!E82="",任务!G82="",任务!H82="",NOT(ISNUMBER(任务!I82)))))</f>
        <v>0</v>
      </c>
      <c r="E101" s="17">
        <f>IF($B101="",0,--(AND(任务!G82&lt;&gt;"",任务!H82&lt;&gt;"",任务!G82&gt;任务!H82)))</f>
        <v>0</v>
      </c>
      <c r="F101" s="17">
        <f>IF($B101="",0,--(OR(任务!I82&lt;0,任务!I82&gt;100)))</f>
        <v>0</v>
      </c>
      <c r="G101" s="17">
        <f>IF($B101="",0,IF(ISNUMBER(SEARCH(",",任务!J82)),0,IF(任务!J82="",0,--(COUNTIF(任务!$A$2:$A$301,TRIM(任务!J82))=0))))</f>
        <v>0</v>
      </c>
      <c r="H101" s="17">
        <f>IF($B101="",0,--(NOT(ISNUMBER(任务!I82))))</f>
        <v>0</v>
      </c>
      <c r="I101" s="17">
        <f t="shared" si="3"/>
        <v>0</v>
      </c>
    </row>
    <row r="102" spans="1:9">
      <c r="A102" s="15">
        <f t="shared" si="2"/>
        <v>83</v>
      </c>
      <c r="B102" s="16" t="str">
        <f>IF(任务!A83="","",任务!A83)</f>
        <v/>
      </c>
      <c r="C102" s="17">
        <f>IF($B102="",0,--(COUNTIF(任务!$A$2:$A$301,$B102)&gt;1))</f>
        <v>0</v>
      </c>
      <c r="D102" s="17">
        <f>IF($B102="",0,--(OR(任务!B83="",任务!C83="",任务!E83="",任务!G83="",任务!H83="",NOT(ISNUMBER(任务!I83)))))</f>
        <v>0</v>
      </c>
      <c r="E102" s="17">
        <f>IF($B102="",0,--(AND(任务!G83&lt;&gt;"",任务!H83&lt;&gt;"",任务!G83&gt;任务!H83)))</f>
        <v>0</v>
      </c>
      <c r="F102" s="17">
        <f>IF($B102="",0,--(OR(任务!I83&lt;0,任务!I83&gt;100)))</f>
        <v>0</v>
      </c>
      <c r="G102" s="17">
        <f>IF($B102="",0,IF(ISNUMBER(SEARCH(",",任务!J83)),0,IF(任务!J83="",0,--(COUNTIF(任务!$A$2:$A$301,TRIM(任务!J83))=0))))</f>
        <v>0</v>
      </c>
      <c r="H102" s="17">
        <f>IF($B102="",0,--(NOT(ISNUMBER(任务!I83))))</f>
        <v>0</v>
      </c>
      <c r="I102" s="17">
        <f t="shared" si="3"/>
        <v>0</v>
      </c>
    </row>
    <row r="103" spans="1:9">
      <c r="A103" s="15">
        <f t="shared" si="2"/>
        <v>84</v>
      </c>
      <c r="B103" s="16" t="str">
        <f>IF(任务!A84="","",任务!A84)</f>
        <v/>
      </c>
      <c r="C103" s="17">
        <f>IF($B103="",0,--(COUNTIF(任务!$A$2:$A$301,$B103)&gt;1))</f>
        <v>0</v>
      </c>
      <c r="D103" s="17">
        <f>IF($B103="",0,--(OR(任务!B84="",任务!C84="",任务!E84="",任务!G84="",任务!H84="",NOT(ISNUMBER(任务!I84)))))</f>
        <v>0</v>
      </c>
      <c r="E103" s="17">
        <f>IF($B103="",0,--(AND(任务!G84&lt;&gt;"",任务!H84&lt;&gt;"",任务!G84&gt;任务!H84)))</f>
        <v>0</v>
      </c>
      <c r="F103" s="17">
        <f>IF($B103="",0,--(OR(任务!I84&lt;0,任务!I84&gt;100)))</f>
        <v>0</v>
      </c>
      <c r="G103" s="17">
        <f>IF($B103="",0,IF(ISNUMBER(SEARCH(",",任务!J84)),0,IF(任务!J84="",0,--(COUNTIF(任务!$A$2:$A$301,TRIM(任务!J84))=0))))</f>
        <v>0</v>
      </c>
      <c r="H103" s="17">
        <f>IF($B103="",0,--(NOT(ISNUMBER(任务!I84))))</f>
        <v>0</v>
      </c>
      <c r="I103" s="17">
        <f t="shared" si="3"/>
        <v>0</v>
      </c>
    </row>
    <row r="104" spans="1:9">
      <c r="A104" s="15">
        <f t="shared" si="2"/>
        <v>85</v>
      </c>
      <c r="B104" s="16" t="str">
        <f>IF(任务!A85="","",任务!A85)</f>
        <v/>
      </c>
      <c r="C104" s="17">
        <f>IF($B104="",0,--(COUNTIF(任务!$A$2:$A$301,$B104)&gt;1))</f>
        <v>0</v>
      </c>
      <c r="D104" s="17">
        <f>IF($B104="",0,--(OR(任务!B85="",任务!C85="",任务!E85="",任务!G85="",任务!H85="",NOT(ISNUMBER(任务!I85)))))</f>
        <v>0</v>
      </c>
      <c r="E104" s="17">
        <f>IF($B104="",0,--(AND(任务!G85&lt;&gt;"",任务!H85&lt;&gt;"",任务!G85&gt;任务!H85)))</f>
        <v>0</v>
      </c>
      <c r="F104" s="17">
        <f>IF($B104="",0,--(OR(任务!I85&lt;0,任务!I85&gt;100)))</f>
        <v>0</v>
      </c>
      <c r="G104" s="17">
        <f>IF($B104="",0,IF(ISNUMBER(SEARCH(",",任务!J85)),0,IF(任务!J85="",0,--(COUNTIF(任务!$A$2:$A$301,TRIM(任务!J85))=0))))</f>
        <v>0</v>
      </c>
      <c r="H104" s="17">
        <f>IF($B104="",0,--(NOT(ISNUMBER(任务!I85))))</f>
        <v>0</v>
      </c>
      <c r="I104" s="17">
        <f t="shared" si="3"/>
        <v>0</v>
      </c>
    </row>
    <row r="105" spans="1:9">
      <c r="A105" s="15">
        <f t="shared" si="2"/>
        <v>86</v>
      </c>
      <c r="B105" s="16" t="str">
        <f>IF(任务!A86="","",任务!A86)</f>
        <v/>
      </c>
      <c r="C105" s="17">
        <f>IF($B105="",0,--(COUNTIF(任务!$A$2:$A$301,$B105)&gt;1))</f>
        <v>0</v>
      </c>
      <c r="D105" s="17">
        <f>IF($B105="",0,--(OR(任务!B86="",任务!C86="",任务!E86="",任务!G86="",任务!H86="",NOT(ISNUMBER(任务!I86)))))</f>
        <v>0</v>
      </c>
      <c r="E105" s="17">
        <f>IF($B105="",0,--(AND(任务!G86&lt;&gt;"",任务!H86&lt;&gt;"",任务!G86&gt;任务!H86)))</f>
        <v>0</v>
      </c>
      <c r="F105" s="17">
        <f>IF($B105="",0,--(OR(任务!I86&lt;0,任务!I86&gt;100)))</f>
        <v>0</v>
      </c>
      <c r="G105" s="17">
        <f>IF($B105="",0,IF(ISNUMBER(SEARCH(",",任务!J86)),0,IF(任务!J86="",0,--(COUNTIF(任务!$A$2:$A$301,TRIM(任务!J86))=0))))</f>
        <v>0</v>
      </c>
      <c r="H105" s="17">
        <f>IF($B105="",0,--(NOT(ISNUMBER(任务!I86))))</f>
        <v>0</v>
      </c>
      <c r="I105" s="17">
        <f t="shared" si="3"/>
        <v>0</v>
      </c>
    </row>
    <row r="106" spans="1:9">
      <c r="A106" s="15">
        <f t="shared" si="2"/>
        <v>87</v>
      </c>
      <c r="B106" s="16" t="str">
        <f>IF(任务!A87="","",任务!A87)</f>
        <v/>
      </c>
      <c r="C106" s="17">
        <f>IF($B106="",0,--(COUNTIF(任务!$A$2:$A$301,$B106)&gt;1))</f>
        <v>0</v>
      </c>
      <c r="D106" s="17">
        <f>IF($B106="",0,--(OR(任务!B87="",任务!C87="",任务!E87="",任务!G87="",任务!H87="",NOT(ISNUMBER(任务!I87)))))</f>
        <v>0</v>
      </c>
      <c r="E106" s="17">
        <f>IF($B106="",0,--(AND(任务!G87&lt;&gt;"",任务!H87&lt;&gt;"",任务!G87&gt;任务!H87)))</f>
        <v>0</v>
      </c>
      <c r="F106" s="17">
        <f>IF($B106="",0,--(OR(任务!I87&lt;0,任务!I87&gt;100)))</f>
        <v>0</v>
      </c>
      <c r="G106" s="17">
        <f>IF($B106="",0,IF(ISNUMBER(SEARCH(",",任务!J87)),0,IF(任务!J87="",0,--(COUNTIF(任务!$A$2:$A$301,TRIM(任务!J87))=0))))</f>
        <v>0</v>
      </c>
      <c r="H106" s="17">
        <f>IF($B106="",0,--(NOT(ISNUMBER(任务!I87))))</f>
        <v>0</v>
      </c>
      <c r="I106" s="17">
        <f t="shared" si="3"/>
        <v>0</v>
      </c>
    </row>
    <row r="107" spans="1:9">
      <c r="A107" s="15">
        <f t="shared" si="2"/>
        <v>88</v>
      </c>
      <c r="B107" s="16" t="str">
        <f>IF(任务!A88="","",任务!A88)</f>
        <v/>
      </c>
      <c r="C107" s="17">
        <f>IF($B107="",0,--(COUNTIF(任务!$A$2:$A$301,$B107)&gt;1))</f>
        <v>0</v>
      </c>
      <c r="D107" s="17">
        <f>IF($B107="",0,--(OR(任务!B88="",任务!C88="",任务!E88="",任务!G88="",任务!H88="",NOT(ISNUMBER(任务!I88)))))</f>
        <v>0</v>
      </c>
      <c r="E107" s="17">
        <f>IF($B107="",0,--(AND(任务!G88&lt;&gt;"",任务!H88&lt;&gt;"",任务!G88&gt;任务!H88)))</f>
        <v>0</v>
      </c>
      <c r="F107" s="17">
        <f>IF($B107="",0,--(OR(任务!I88&lt;0,任务!I88&gt;100)))</f>
        <v>0</v>
      </c>
      <c r="G107" s="17">
        <f>IF($B107="",0,IF(ISNUMBER(SEARCH(",",任务!J88)),0,IF(任务!J88="",0,--(COUNTIF(任务!$A$2:$A$301,TRIM(任务!J88))=0))))</f>
        <v>0</v>
      </c>
      <c r="H107" s="17">
        <f>IF($B107="",0,--(NOT(ISNUMBER(任务!I88))))</f>
        <v>0</v>
      </c>
      <c r="I107" s="17">
        <f t="shared" si="3"/>
        <v>0</v>
      </c>
    </row>
    <row r="108" spans="1:9">
      <c r="A108" s="15">
        <f t="shared" si="2"/>
        <v>89</v>
      </c>
      <c r="B108" s="16" t="str">
        <f>IF(任务!A89="","",任务!A89)</f>
        <v/>
      </c>
      <c r="C108" s="17">
        <f>IF($B108="",0,--(COUNTIF(任务!$A$2:$A$301,$B108)&gt;1))</f>
        <v>0</v>
      </c>
      <c r="D108" s="17">
        <f>IF($B108="",0,--(OR(任务!B89="",任务!C89="",任务!E89="",任务!G89="",任务!H89="",NOT(ISNUMBER(任务!I89)))))</f>
        <v>0</v>
      </c>
      <c r="E108" s="17">
        <f>IF($B108="",0,--(AND(任务!G89&lt;&gt;"",任务!H89&lt;&gt;"",任务!G89&gt;任务!H89)))</f>
        <v>0</v>
      </c>
      <c r="F108" s="17">
        <f>IF($B108="",0,--(OR(任务!I89&lt;0,任务!I89&gt;100)))</f>
        <v>0</v>
      </c>
      <c r="G108" s="17">
        <f>IF($B108="",0,IF(ISNUMBER(SEARCH(",",任务!J89)),0,IF(任务!J89="",0,--(COUNTIF(任务!$A$2:$A$301,TRIM(任务!J89))=0))))</f>
        <v>0</v>
      </c>
      <c r="H108" s="17">
        <f>IF($B108="",0,--(NOT(ISNUMBER(任务!I89))))</f>
        <v>0</v>
      </c>
      <c r="I108" s="17">
        <f t="shared" si="3"/>
        <v>0</v>
      </c>
    </row>
    <row r="109" spans="1:9">
      <c r="A109" s="15">
        <f t="shared" si="2"/>
        <v>90</v>
      </c>
      <c r="B109" s="16" t="str">
        <f>IF(任务!A90="","",任务!A90)</f>
        <v/>
      </c>
      <c r="C109" s="17">
        <f>IF($B109="",0,--(COUNTIF(任务!$A$2:$A$301,$B109)&gt;1))</f>
        <v>0</v>
      </c>
      <c r="D109" s="17">
        <f>IF($B109="",0,--(OR(任务!B90="",任务!C90="",任务!E90="",任务!G90="",任务!H90="",NOT(ISNUMBER(任务!I90)))))</f>
        <v>0</v>
      </c>
      <c r="E109" s="17">
        <f>IF($B109="",0,--(AND(任务!G90&lt;&gt;"",任务!H90&lt;&gt;"",任务!G90&gt;任务!H90)))</f>
        <v>0</v>
      </c>
      <c r="F109" s="17">
        <f>IF($B109="",0,--(OR(任务!I90&lt;0,任务!I90&gt;100)))</f>
        <v>0</v>
      </c>
      <c r="G109" s="17">
        <f>IF($B109="",0,IF(ISNUMBER(SEARCH(",",任务!J90)),0,IF(任务!J90="",0,--(COUNTIF(任务!$A$2:$A$301,TRIM(任务!J90))=0))))</f>
        <v>0</v>
      </c>
      <c r="H109" s="17">
        <f>IF($B109="",0,--(NOT(ISNUMBER(任务!I90))))</f>
        <v>0</v>
      </c>
      <c r="I109" s="17">
        <f t="shared" si="3"/>
        <v>0</v>
      </c>
    </row>
    <row r="110" spans="1:9">
      <c r="A110" s="15">
        <f t="shared" si="2"/>
        <v>91</v>
      </c>
      <c r="B110" s="16" t="str">
        <f>IF(任务!A91="","",任务!A91)</f>
        <v/>
      </c>
      <c r="C110" s="17">
        <f>IF($B110="",0,--(COUNTIF(任务!$A$2:$A$301,$B110)&gt;1))</f>
        <v>0</v>
      </c>
      <c r="D110" s="17">
        <f>IF($B110="",0,--(OR(任务!B91="",任务!C91="",任务!E91="",任务!G91="",任务!H91="",NOT(ISNUMBER(任务!I91)))))</f>
        <v>0</v>
      </c>
      <c r="E110" s="17">
        <f>IF($B110="",0,--(AND(任务!G91&lt;&gt;"",任务!H91&lt;&gt;"",任务!G91&gt;任务!H91)))</f>
        <v>0</v>
      </c>
      <c r="F110" s="17">
        <f>IF($B110="",0,--(OR(任务!I91&lt;0,任务!I91&gt;100)))</f>
        <v>0</v>
      </c>
      <c r="G110" s="17">
        <f>IF($B110="",0,IF(ISNUMBER(SEARCH(",",任务!J91)),0,IF(任务!J91="",0,--(COUNTIF(任务!$A$2:$A$301,TRIM(任务!J91))=0))))</f>
        <v>0</v>
      </c>
      <c r="H110" s="17">
        <f>IF($B110="",0,--(NOT(ISNUMBER(任务!I91))))</f>
        <v>0</v>
      </c>
      <c r="I110" s="17">
        <f t="shared" si="3"/>
        <v>0</v>
      </c>
    </row>
    <row r="111" spans="1:9">
      <c r="A111" s="15">
        <f t="shared" si="2"/>
        <v>92</v>
      </c>
      <c r="B111" s="16" t="str">
        <f>IF(任务!A92="","",任务!A92)</f>
        <v/>
      </c>
      <c r="C111" s="17">
        <f>IF($B111="",0,--(COUNTIF(任务!$A$2:$A$301,$B111)&gt;1))</f>
        <v>0</v>
      </c>
      <c r="D111" s="17">
        <f>IF($B111="",0,--(OR(任务!B92="",任务!C92="",任务!E92="",任务!G92="",任务!H92="",NOT(ISNUMBER(任务!I92)))))</f>
        <v>0</v>
      </c>
      <c r="E111" s="17">
        <f>IF($B111="",0,--(AND(任务!G92&lt;&gt;"",任务!H92&lt;&gt;"",任务!G92&gt;任务!H92)))</f>
        <v>0</v>
      </c>
      <c r="F111" s="17">
        <f>IF($B111="",0,--(OR(任务!I92&lt;0,任务!I92&gt;100)))</f>
        <v>0</v>
      </c>
      <c r="G111" s="17">
        <f>IF($B111="",0,IF(ISNUMBER(SEARCH(",",任务!J92)),0,IF(任务!J92="",0,--(COUNTIF(任务!$A$2:$A$301,TRIM(任务!J92))=0))))</f>
        <v>0</v>
      </c>
      <c r="H111" s="17">
        <f>IF($B111="",0,--(NOT(ISNUMBER(任务!I92))))</f>
        <v>0</v>
      </c>
      <c r="I111" s="17">
        <f t="shared" si="3"/>
        <v>0</v>
      </c>
    </row>
    <row r="112" spans="1:9">
      <c r="A112" s="15">
        <f t="shared" si="2"/>
        <v>93</v>
      </c>
      <c r="B112" s="16" t="str">
        <f>IF(任务!A93="","",任务!A93)</f>
        <v/>
      </c>
      <c r="C112" s="17">
        <f>IF($B112="",0,--(COUNTIF(任务!$A$2:$A$301,$B112)&gt;1))</f>
        <v>0</v>
      </c>
      <c r="D112" s="17">
        <f>IF($B112="",0,--(OR(任务!B93="",任务!C93="",任务!E93="",任务!G93="",任务!H93="",NOT(ISNUMBER(任务!I93)))))</f>
        <v>0</v>
      </c>
      <c r="E112" s="17">
        <f>IF($B112="",0,--(AND(任务!G93&lt;&gt;"",任务!H93&lt;&gt;"",任务!G93&gt;任务!H93)))</f>
        <v>0</v>
      </c>
      <c r="F112" s="17">
        <f>IF($B112="",0,--(OR(任务!I93&lt;0,任务!I93&gt;100)))</f>
        <v>0</v>
      </c>
      <c r="G112" s="17">
        <f>IF($B112="",0,IF(ISNUMBER(SEARCH(",",任务!J93)),0,IF(任务!J93="",0,--(COUNTIF(任务!$A$2:$A$301,TRIM(任务!J93))=0))))</f>
        <v>0</v>
      </c>
      <c r="H112" s="17">
        <f>IF($B112="",0,--(NOT(ISNUMBER(任务!I93))))</f>
        <v>0</v>
      </c>
      <c r="I112" s="17">
        <f t="shared" si="3"/>
        <v>0</v>
      </c>
    </row>
    <row r="113" spans="1:9">
      <c r="A113" s="15">
        <f t="shared" si="2"/>
        <v>94</v>
      </c>
      <c r="B113" s="16" t="str">
        <f>IF(任务!A94="","",任务!A94)</f>
        <v/>
      </c>
      <c r="C113" s="17">
        <f>IF($B113="",0,--(COUNTIF(任务!$A$2:$A$301,$B113)&gt;1))</f>
        <v>0</v>
      </c>
      <c r="D113" s="17">
        <f>IF($B113="",0,--(OR(任务!B94="",任务!C94="",任务!E94="",任务!G94="",任务!H94="",NOT(ISNUMBER(任务!I94)))))</f>
        <v>0</v>
      </c>
      <c r="E113" s="17">
        <f>IF($B113="",0,--(AND(任务!G94&lt;&gt;"",任务!H94&lt;&gt;"",任务!G94&gt;任务!H94)))</f>
        <v>0</v>
      </c>
      <c r="F113" s="17">
        <f>IF($B113="",0,--(OR(任务!I94&lt;0,任务!I94&gt;100)))</f>
        <v>0</v>
      </c>
      <c r="G113" s="17">
        <f>IF($B113="",0,IF(ISNUMBER(SEARCH(",",任务!J94)),0,IF(任务!J94="",0,--(COUNTIF(任务!$A$2:$A$301,TRIM(任务!J94))=0))))</f>
        <v>0</v>
      </c>
      <c r="H113" s="17">
        <f>IF($B113="",0,--(NOT(ISNUMBER(任务!I94))))</f>
        <v>0</v>
      </c>
      <c r="I113" s="17">
        <f t="shared" si="3"/>
        <v>0</v>
      </c>
    </row>
    <row r="114" spans="1:9">
      <c r="A114" s="15">
        <f t="shared" si="2"/>
        <v>95</v>
      </c>
      <c r="B114" s="16" t="str">
        <f>IF(任务!A95="","",任务!A95)</f>
        <v/>
      </c>
      <c r="C114" s="17">
        <f>IF($B114="",0,--(COUNTIF(任务!$A$2:$A$301,$B114)&gt;1))</f>
        <v>0</v>
      </c>
      <c r="D114" s="17">
        <f>IF($B114="",0,--(OR(任务!B95="",任务!C95="",任务!E95="",任务!G95="",任务!H95="",NOT(ISNUMBER(任务!I95)))))</f>
        <v>0</v>
      </c>
      <c r="E114" s="17">
        <f>IF($B114="",0,--(AND(任务!G95&lt;&gt;"",任务!H95&lt;&gt;"",任务!G95&gt;任务!H95)))</f>
        <v>0</v>
      </c>
      <c r="F114" s="17">
        <f>IF($B114="",0,--(OR(任务!I95&lt;0,任务!I95&gt;100)))</f>
        <v>0</v>
      </c>
      <c r="G114" s="17">
        <f>IF($B114="",0,IF(ISNUMBER(SEARCH(",",任务!J95)),0,IF(任务!J95="",0,--(COUNTIF(任务!$A$2:$A$301,TRIM(任务!J95))=0))))</f>
        <v>0</v>
      </c>
      <c r="H114" s="17">
        <f>IF($B114="",0,--(NOT(ISNUMBER(任务!I95))))</f>
        <v>0</v>
      </c>
      <c r="I114" s="17">
        <f t="shared" si="3"/>
        <v>0</v>
      </c>
    </row>
    <row r="115" spans="1:9">
      <c r="A115" s="15">
        <f t="shared" si="2"/>
        <v>96</v>
      </c>
      <c r="B115" s="16" t="str">
        <f>IF(任务!A96="","",任务!A96)</f>
        <v/>
      </c>
      <c r="C115" s="17">
        <f>IF($B115="",0,--(COUNTIF(任务!$A$2:$A$301,$B115)&gt;1))</f>
        <v>0</v>
      </c>
      <c r="D115" s="17">
        <f>IF($B115="",0,--(OR(任务!B96="",任务!C96="",任务!E96="",任务!G96="",任务!H96="",NOT(ISNUMBER(任务!I96)))))</f>
        <v>0</v>
      </c>
      <c r="E115" s="17">
        <f>IF($B115="",0,--(AND(任务!G96&lt;&gt;"",任务!H96&lt;&gt;"",任务!G96&gt;任务!H96)))</f>
        <v>0</v>
      </c>
      <c r="F115" s="17">
        <f>IF($B115="",0,--(OR(任务!I96&lt;0,任务!I96&gt;100)))</f>
        <v>0</v>
      </c>
      <c r="G115" s="17">
        <f>IF($B115="",0,IF(ISNUMBER(SEARCH(",",任务!J96)),0,IF(任务!J96="",0,--(COUNTIF(任务!$A$2:$A$301,TRIM(任务!J96))=0))))</f>
        <v>0</v>
      </c>
      <c r="H115" s="17">
        <f>IF($B115="",0,--(NOT(ISNUMBER(任务!I96))))</f>
        <v>0</v>
      </c>
      <c r="I115" s="17">
        <f t="shared" si="3"/>
        <v>0</v>
      </c>
    </row>
    <row r="116" spans="1:9">
      <c r="A116" s="15">
        <f t="shared" si="2"/>
        <v>97</v>
      </c>
      <c r="B116" s="16" t="str">
        <f>IF(任务!A97="","",任务!A97)</f>
        <v/>
      </c>
      <c r="C116" s="17">
        <f>IF($B116="",0,--(COUNTIF(任务!$A$2:$A$301,$B116)&gt;1))</f>
        <v>0</v>
      </c>
      <c r="D116" s="17">
        <f>IF($B116="",0,--(OR(任务!B97="",任务!C97="",任务!E97="",任务!G97="",任务!H97="",NOT(ISNUMBER(任务!I97)))))</f>
        <v>0</v>
      </c>
      <c r="E116" s="17">
        <f>IF($B116="",0,--(AND(任务!G97&lt;&gt;"",任务!H97&lt;&gt;"",任务!G97&gt;任务!H97)))</f>
        <v>0</v>
      </c>
      <c r="F116" s="17">
        <f>IF($B116="",0,--(OR(任务!I97&lt;0,任务!I97&gt;100)))</f>
        <v>0</v>
      </c>
      <c r="G116" s="17">
        <f>IF($B116="",0,IF(ISNUMBER(SEARCH(",",任务!J97)),0,IF(任务!J97="",0,--(COUNTIF(任务!$A$2:$A$301,TRIM(任务!J97))=0))))</f>
        <v>0</v>
      </c>
      <c r="H116" s="17">
        <f>IF($B116="",0,--(NOT(ISNUMBER(任务!I97))))</f>
        <v>0</v>
      </c>
      <c r="I116" s="17">
        <f t="shared" si="3"/>
        <v>0</v>
      </c>
    </row>
    <row r="117" spans="1:9">
      <c r="A117" s="15">
        <f t="shared" si="2"/>
        <v>98</v>
      </c>
      <c r="B117" s="16" t="str">
        <f>IF(任务!A98="","",任务!A98)</f>
        <v/>
      </c>
      <c r="C117" s="17">
        <f>IF($B117="",0,--(COUNTIF(任务!$A$2:$A$301,$B117)&gt;1))</f>
        <v>0</v>
      </c>
      <c r="D117" s="17">
        <f>IF($B117="",0,--(OR(任务!B98="",任务!C98="",任务!E98="",任务!G98="",任务!H98="",NOT(ISNUMBER(任务!I98)))))</f>
        <v>0</v>
      </c>
      <c r="E117" s="17">
        <f>IF($B117="",0,--(AND(任务!G98&lt;&gt;"",任务!H98&lt;&gt;"",任务!G98&gt;任务!H98)))</f>
        <v>0</v>
      </c>
      <c r="F117" s="17">
        <f>IF($B117="",0,--(OR(任务!I98&lt;0,任务!I98&gt;100)))</f>
        <v>0</v>
      </c>
      <c r="G117" s="17">
        <f>IF($B117="",0,IF(ISNUMBER(SEARCH(",",任务!J98)),0,IF(任务!J98="",0,--(COUNTIF(任务!$A$2:$A$301,TRIM(任务!J98))=0))))</f>
        <v>0</v>
      </c>
      <c r="H117" s="17">
        <f>IF($B117="",0,--(NOT(ISNUMBER(任务!I98))))</f>
        <v>0</v>
      </c>
      <c r="I117" s="17">
        <f t="shared" si="3"/>
        <v>0</v>
      </c>
    </row>
    <row r="118" spans="1:9">
      <c r="A118" s="15">
        <f t="shared" si="2"/>
        <v>99</v>
      </c>
      <c r="B118" s="16" t="str">
        <f>IF(任务!A99="","",任务!A99)</f>
        <v/>
      </c>
      <c r="C118" s="17">
        <f>IF($B118="",0,--(COUNTIF(任务!$A$2:$A$301,$B118)&gt;1))</f>
        <v>0</v>
      </c>
      <c r="D118" s="17">
        <f>IF($B118="",0,--(OR(任务!B99="",任务!C99="",任务!E99="",任务!G99="",任务!H99="",NOT(ISNUMBER(任务!I99)))))</f>
        <v>0</v>
      </c>
      <c r="E118" s="17">
        <f>IF($B118="",0,--(AND(任务!G99&lt;&gt;"",任务!H99&lt;&gt;"",任务!G99&gt;任务!H99)))</f>
        <v>0</v>
      </c>
      <c r="F118" s="17">
        <f>IF($B118="",0,--(OR(任务!I99&lt;0,任务!I99&gt;100)))</f>
        <v>0</v>
      </c>
      <c r="G118" s="17">
        <f>IF($B118="",0,IF(ISNUMBER(SEARCH(",",任务!J99)),0,IF(任务!J99="",0,--(COUNTIF(任务!$A$2:$A$301,TRIM(任务!J99))=0))))</f>
        <v>0</v>
      </c>
      <c r="H118" s="17">
        <f>IF($B118="",0,--(NOT(ISNUMBER(任务!I99))))</f>
        <v>0</v>
      </c>
      <c r="I118" s="17">
        <f t="shared" si="3"/>
        <v>0</v>
      </c>
    </row>
    <row r="119" spans="1:9">
      <c r="A119" s="15">
        <f t="shared" si="2"/>
        <v>100</v>
      </c>
      <c r="B119" s="16" t="str">
        <f>IF(任务!A100="","",任务!A100)</f>
        <v/>
      </c>
      <c r="C119" s="17">
        <f>IF($B119="",0,--(COUNTIF(任务!$A$2:$A$301,$B119)&gt;1))</f>
        <v>0</v>
      </c>
      <c r="D119" s="17">
        <f>IF($B119="",0,--(OR(任务!B100="",任务!C100="",任务!E100="",任务!G100="",任务!H100="",NOT(ISNUMBER(任务!I100)))))</f>
        <v>0</v>
      </c>
      <c r="E119" s="17">
        <f>IF($B119="",0,--(AND(任务!G100&lt;&gt;"",任务!H100&lt;&gt;"",任务!G100&gt;任务!H100)))</f>
        <v>0</v>
      </c>
      <c r="F119" s="17">
        <f>IF($B119="",0,--(OR(任务!I100&lt;0,任务!I100&gt;100)))</f>
        <v>0</v>
      </c>
      <c r="G119" s="17">
        <f>IF($B119="",0,IF(ISNUMBER(SEARCH(",",任务!J100)),0,IF(任务!J100="",0,--(COUNTIF(任务!$A$2:$A$301,TRIM(任务!J100))=0))))</f>
        <v>0</v>
      </c>
      <c r="H119" s="17">
        <f>IF($B119="",0,--(NOT(ISNUMBER(任务!I100))))</f>
        <v>0</v>
      </c>
      <c r="I119" s="17">
        <f t="shared" si="3"/>
        <v>0</v>
      </c>
    </row>
    <row r="120" spans="1:9">
      <c r="A120" s="15">
        <f t="shared" si="2"/>
        <v>101</v>
      </c>
      <c r="B120" s="16" t="str">
        <f>IF(任务!A101="","",任务!A101)</f>
        <v/>
      </c>
      <c r="C120" s="17">
        <f>IF($B120="",0,--(COUNTIF(任务!$A$2:$A$301,$B120)&gt;1))</f>
        <v>0</v>
      </c>
      <c r="D120" s="17">
        <f>IF($B120="",0,--(OR(任务!B101="",任务!C101="",任务!E101="",任务!G101="",任务!H101="",NOT(ISNUMBER(任务!I101)))))</f>
        <v>0</v>
      </c>
      <c r="E120" s="17">
        <f>IF($B120="",0,--(AND(任务!G101&lt;&gt;"",任务!H101&lt;&gt;"",任务!G101&gt;任务!H101)))</f>
        <v>0</v>
      </c>
      <c r="F120" s="17">
        <f>IF($B120="",0,--(OR(任务!I101&lt;0,任务!I101&gt;100)))</f>
        <v>0</v>
      </c>
      <c r="G120" s="17">
        <f>IF($B120="",0,IF(ISNUMBER(SEARCH(",",任务!J101)),0,IF(任务!J101="",0,--(COUNTIF(任务!$A$2:$A$301,TRIM(任务!J101))=0))))</f>
        <v>0</v>
      </c>
      <c r="H120" s="17">
        <f>IF($B120="",0,--(NOT(ISNUMBER(任务!I101))))</f>
        <v>0</v>
      </c>
      <c r="I120" s="17">
        <f t="shared" si="3"/>
        <v>0</v>
      </c>
    </row>
    <row r="121" spans="1:9">
      <c r="A121" s="15">
        <f t="shared" si="2"/>
        <v>102</v>
      </c>
      <c r="B121" s="16" t="str">
        <f>IF(任务!A102="","",任务!A102)</f>
        <v/>
      </c>
      <c r="C121" s="17">
        <f>IF($B121="",0,--(COUNTIF(任务!$A$2:$A$301,$B121)&gt;1))</f>
        <v>0</v>
      </c>
      <c r="D121" s="17">
        <f>IF($B121="",0,--(OR(任务!B102="",任务!C102="",任务!E102="",任务!G102="",任务!H102="",NOT(ISNUMBER(任务!I102)))))</f>
        <v>0</v>
      </c>
      <c r="E121" s="17">
        <f>IF($B121="",0,--(AND(任务!G102&lt;&gt;"",任务!H102&lt;&gt;"",任务!G102&gt;任务!H102)))</f>
        <v>0</v>
      </c>
      <c r="F121" s="17">
        <f>IF($B121="",0,--(OR(任务!I102&lt;0,任务!I102&gt;100)))</f>
        <v>0</v>
      </c>
      <c r="G121" s="17">
        <f>IF($B121="",0,IF(ISNUMBER(SEARCH(",",任务!J102)),0,IF(任务!J102="",0,--(COUNTIF(任务!$A$2:$A$301,TRIM(任务!J102))=0))))</f>
        <v>0</v>
      </c>
      <c r="H121" s="17">
        <f>IF($B121="",0,--(NOT(ISNUMBER(任务!I102))))</f>
        <v>0</v>
      </c>
      <c r="I121" s="17">
        <f t="shared" si="3"/>
        <v>0</v>
      </c>
    </row>
    <row r="122" spans="1:9">
      <c r="A122" s="15">
        <f t="shared" si="2"/>
        <v>103</v>
      </c>
      <c r="B122" s="16" t="str">
        <f>IF(任务!A103="","",任务!A103)</f>
        <v/>
      </c>
      <c r="C122" s="17">
        <f>IF($B122="",0,--(COUNTIF(任务!$A$2:$A$301,$B122)&gt;1))</f>
        <v>0</v>
      </c>
      <c r="D122" s="17">
        <f>IF($B122="",0,--(OR(任务!B103="",任务!C103="",任务!E103="",任务!G103="",任务!H103="",NOT(ISNUMBER(任务!I103)))))</f>
        <v>0</v>
      </c>
      <c r="E122" s="17">
        <f>IF($B122="",0,--(AND(任务!G103&lt;&gt;"",任务!H103&lt;&gt;"",任务!G103&gt;任务!H103)))</f>
        <v>0</v>
      </c>
      <c r="F122" s="17">
        <f>IF($B122="",0,--(OR(任务!I103&lt;0,任务!I103&gt;100)))</f>
        <v>0</v>
      </c>
      <c r="G122" s="17">
        <f>IF($B122="",0,IF(ISNUMBER(SEARCH(",",任务!J103)),0,IF(任务!J103="",0,--(COUNTIF(任务!$A$2:$A$301,TRIM(任务!J103))=0))))</f>
        <v>0</v>
      </c>
      <c r="H122" s="17">
        <f>IF($B122="",0,--(NOT(ISNUMBER(任务!I103))))</f>
        <v>0</v>
      </c>
      <c r="I122" s="17">
        <f t="shared" si="3"/>
        <v>0</v>
      </c>
    </row>
    <row r="123" spans="1:9">
      <c r="A123" s="15">
        <f t="shared" si="2"/>
        <v>104</v>
      </c>
      <c r="B123" s="16" t="str">
        <f>IF(任务!A104="","",任务!A104)</f>
        <v/>
      </c>
      <c r="C123" s="17">
        <f>IF($B123="",0,--(COUNTIF(任务!$A$2:$A$301,$B123)&gt;1))</f>
        <v>0</v>
      </c>
      <c r="D123" s="17">
        <f>IF($B123="",0,--(OR(任务!B104="",任务!C104="",任务!E104="",任务!G104="",任务!H104="",NOT(ISNUMBER(任务!I104)))))</f>
        <v>0</v>
      </c>
      <c r="E123" s="17">
        <f>IF($B123="",0,--(AND(任务!G104&lt;&gt;"",任务!H104&lt;&gt;"",任务!G104&gt;任务!H104)))</f>
        <v>0</v>
      </c>
      <c r="F123" s="17">
        <f>IF($B123="",0,--(OR(任务!I104&lt;0,任务!I104&gt;100)))</f>
        <v>0</v>
      </c>
      <c r="G123" s="17">
        <f>IF($B123="",0,IF(ISNUMBER(SEARCH(",",任务!J104)),0,IF(任务!J104="",0,--(COUNTIF(任务!$A$2:$A$301,TRIM(任务!J104))=0))))</f>
        <v>0</v>
      </c>
      <c r="H123" s="17">
        <f>IF($B123="",0,--(NOT(ISNUMBER(任务!I104))))</f>
        <v>0</v>
      </c>
      <c r="I123" s="17">
        <f t="shared" si="3"/>
        <v>0</v>
      </c>
    </row>
    <row r="124" spans="1:9">
      <c r="A124" s="15">
        <f t="shared" si="2"/>
        <v>105</v>
      </c>
      <c r="B124" s="16" t="str">
        <f>IF(任务!A105="","",任务!A105)</f>
        <v/>
      </c>
      <c r="C124" s="17">
        <f>IF($B124="",0,--(COUNTIF(任务!$A$2:$A$301,$B124)&gt;1))</f>
        <v>0</v>
      </c>
      <c r="D124" s="17">
        <f>IF($B124="",0,--(OR(任务!B105="",任务!C105="",任务!E105="",任务!G105="",任务!H105="",NOT(ISNUMBER(任务!I105)))))</f>
        <v>0</v>
      </c>
      <c r="E124" s="17">
        <f>IF($B124="",0,--(AND(任务!G105&lt;&gt;"",任务!H105&lt;&gt;"",任务!G105&gt;任务!H105)))</f>
        <v>0</v>
      </c>
      <c r="F124" s="17">
        <f>IF($B124="",0,--(OR(任务!I105&lt;0,任务!I105&gt;100)))</f>
        <v>0</v>
      </c>
      <c r="G124" s="17">
        <f>IF($B124="",0,IF(ISNUMBER(SEARCH(",",任务!J105)),0,IF(任务!J105="",0,--(COUNTIF(任务!$A$2:$A$301,TRIM(任务!J105))=0))))</f>
        <v>0</v>
      </c>
      <c r="H124" s="17">
        <f>IF($B124="",0,--(NOT(ISNUMBER(任务!I105))))</f>
        <v>0</v>
      </c>
      <c r="I124" s="17">
        <f t="shared" si="3"/>
        <v>0</v>
      </c>
    </row>
    <row r="125" spans="1:9">
      <c r="A125" s="15">
        <f t="shared" si="2"/>
        <v>106</v>
      </c>
      <c r="B125" s="16" t="str">
        <f>IF(任务!A106="","",任务!A106)</f>
        <v/>
      </c>
      <c r="C125" s="17">
        <f>IF($B125="",0,--(COUNTIF(任务!$A$2:$A$301,$B125)&gt;1))</f>
        <v>0</v>
      </c>
      <c r="D125" s="17">
        <f>IF($B125="",0,--(OR(任务!B106="",任务!C106="",任务!E106="",任务!G106="",任务!H106="",NOT(ISNUMBER(任务!I106)))))</f>
        <v>0</v>
      </c>
      <c r="E125" s="17">
        <f>IF($B125="",0,--(AND(任务!G106&lt;&gt;"",任务!H106&lt;&gt;"",任务!G106&gt;任务!H106)))</f>
        <v>0</v>
      </c>
      <c r="F125" s="17">
        <f>IF($B125="",0,--(OR(任务!I106&lt;0,任务!I106&gt;100)))</f>
        <v>0</v>
      </c>
      <c r="G125" s="17">
        <f>IF($B125="",0,IF(ISNUMBER(SEARCH(",",任务!J106)),0,IF(任务!J106="",0,--(COUNTIF(任务!$A$2:$A$301,TRIM(任务!J106))=0))))</f>
        <v>0</v>
      </c>
      <c r="H125" s="17">
        <f>IF($B125="",0,--(NOT(ISNUMBER(任务!I106))))</f>
        <v>0</v>
      </c>
      <c r="I125" s="17">
        <f t="shared" si="3"/>
        <v>0</v>
      </c>
    </row>
    <row r="126" spans="1:9">
      <c r="A126" s="15">
        <f t="shared" si="2"/>
        <v>107</v>
      </c>
      <c r="B126" s="16" t="str">
        <f>IF(任务!A107="","",任务!A107)</f>
        <v/>
      </c>
      <c r="C126" s="17">
        <f>IF($B126="",0,--(COUNTIF(任务!$A$2:$A$301,$B126)&gt;1))</f>
        <v>0</v>
      </c>
      <c r="D126" s="17">
        <f>IF($B126="",0,--(OR(任务!B107="",任务!C107="",任务!E107="",任务!G107="",任务!H107="",NOT(ISNUMBER(任务!I107)))))</f>
        <v>0</v>
      </c>
      <c r="E126" s="17">
        <f>IF($B126="",0,--(AND(任务!G107&lt;&gt;"",任务!H107&lt;&gt;"",任务!G107&gt;任务!H107)))</f>
        <v>0</v>
      </c>
      <c r="F126" s="17">
        <f>IF($B126="",0,--(OR(任务!I107&lt;0,任务!I107&gt;100)))</f>
        <v>0</v>
      </c>
      <c r="G126" s="17">
        <f>IF($B126="",0,IF(ISNUMBER(SEARCH(",",任务!J107)),0,IF(任务!J107="",0,--(COUNTIF(任务!$A$2:$A$301,TRIM(任务!J107))=0))))</f>
        <v>0</v>
      </c>
      <c r="H126" s="17">
        <f>IF($B126="",0,--(NOT(ISNUMBER(任务!I107))))</f>
        <v>0</v>
      </c>
      <c r="I126" s="17">
        <f t="shared" si="3"/>
        <v>0</v>
      </c>
    </row>
    <row r="127" spans="1:9">
      <c r="A127" s="15">
        <f t="shared" si="2"/>
        <v>108</v>
      </c>
      <c r="B127" s="16" t="str">
        <f>IF(任务!A108="","",任务!A108)</f>
        <v/>
      </c>
      <c r="C127" s="17">
        <f>IF($B127="",0,--(COUNTIF(任务!$A$2:$A$301,$B127)&gt;1))</f>
        <v>0</v>
      </c>
      <c r="D127" s="17">
        <f>IF($B127="",0,--(OR(任务!B108="",任务!C108="",任务!E108="",任务!G108="",任务!H108="",NOT(ISNUMBER(任务!I108)))))</f>
        <v>0</v>
      </c>
      <c r="E127" s="17">
        <f>IF($B127="",0,--(AND(任务!G108&lt;&gt;"",任务!H108&lt;&gt;"",任务!G108&gt;任务!H108)))</f>
        <v>0</v>
      </c>
      <c r="F127" s="17">
        <f>IF($B127="",0,--(OR(任务!I108&lt;0,任务!I108&gt;100)))</f>
        <v>0</v>
      </c>
      <c r="G127" s="17">
        <f>IF($B127="",0,IF(ISNUMBER(SEARCH(",",任务!J108)),0,IF(任务!J108="",0,--(COUNTIF(任务!$A$2:$A$301,TRIM(任务!J108))=0))))</f>
        <v>0</v>
      </c>
      <c r="H127" s="17">
        <f>IF($B127="",0,--(NOT(ISNUMBER(任务!I108))))</f>
        <v>0</v>
      </c>
      <c r="I127" s="17">
        <f t="shared" si="3"/>
        <v>0</v>
      </c>
    </row>
    <row r="128" spans="1:9">
      <c r="A128" s="15">
        <f t="shared" si="2"/>
        <v>109</v>
      </c>
      <c r="B128" s="16" t="str">
        <f>IF(任务!A109="","",任务!A109)</f>
        <v/>
      </c>
      <c r="C128" s="17">
        <f>IF($B128="",0,--(COUNTIF(任务!$A$2:$A$301,$B128)&gt;1))</f>
        <v>0</v>
      </c>
      <c r="D128" s="17">
        <f>IF($B128="",0,--(OR(任务!B109="",任务!C109="",任务!E109="",任务!G109="",任务!H109="",NOT(ISNUMBER(任务!I109)))))</f>
        <v>0</v>
      </c>
      <c r="E128" s="17">
        <f>IF($B128="",0,--(AND(任务!G109&lt;&gt;"",任务!H109&lt;&gt;"",任务!G109&gt;任务!H109)))</f>
        <v>0</v>
      </c>
      <c r="F128" s="17">
        <f>IF($B128="",0,--(OR(任务!I109&lt;0,任务!I109&gt;100)))</f>
        <v>0</v>
      </c>
      <c r="G128" s="17">
        <f>IF($B128="",0,IF(ISNUMBER(SEARCH(",",任务!J109)),0,IF(任务!J109="",0,--(COUNTIF(任务!$A$2:$A$301,TRIM(任务!J109))=0))))</f>
        <v>0</v>
      </c>
      <c r="H128" s="17">
        <f>IF($B128="",0,--(NOT(ISNUMBER(任务!I109))))</f>
        <v>0</v>
      </c>
      <c r="I128" s="17">
        <f t="shared" si="3"/>
        <v>0</v>
      </c>
    </row>
    <row r="129" spans="1:9">
      <c r="A129" s="15">
        <f t="shared" si="2"/>
        <v>110</v>
      </c>
      <c r="B129" s="16" t="str">
        <f>IF(任务!A110="","",任务!A110)</f>
        <v/>
      </c>
      <c r="C129" s="17">
        <f>IF($B129="",0,--(COUNTIF(任务!$A$2:$A$301,$B129)&gt;1))</f>
        <v>0</v>
      </c>
      <c r="D129" s="17">
        <f>IF($B129="",0,--(OR(任务!B110="",任务!C110="",任务!E110="",任务!G110="",任务!H110="",NOT(ISNUMBER(任务!I110)))))</f>
        <v>0</v>
      </c>
      <c r="E129" s="17">
        <f>IF($B129="",0,--(AND(任务!G110&lt;&gt;"",任务!H110&lt;&gt;"",任务!G110&gt;任务!H110)))</f>
        <v>0</v>
      </c>
      <c r="F129" s="17">
        <f>IF($B129="",0,--(OR(任务!I110&lt;0,任务!I110&gt;100)))</f>
        <v>0</v>
      </c>
      <c r="G129" s="17">
        <f>IF($B129="",0,IF(ISNUMBER(SEARCH(",",任务!J110)),0,IF(任务!J110="",0,--(COUNTIF(任务!$A$2:$A$301,TRIM(任务!J110))=0))))</f>
        <v>0</v>
      </c>
      <c r="H129" s="17">
        <f>IF($B129="",0,--(NOT(ISNUMBER(任务!I110))))</f>
        <v>0</v>
      </c>
      <c r="I129" s="17">
        <f t="shared" si="3"/>
        <v>0</v>
      </c>
    </row>
    <row r="130" spans="1:9">
      <c r="A130" s="15">
        <f t="shared" si="2"/>
        <v>111</v>
      </c>
      <c r="B130" s="16" t="str">
        <f>IF(任务!A111="","",任务!A111)</f>
        <v/>
      </c>
      <c r="C130" s="17">
        <f>IF($B130="",0,--(COUNTIF(任务!$A$2:$A$301,$B130)&gt;1))</f>
        <v>0</v>
      </c>
      <c r="D130" s="17">
        <f>IF($B130="",0,--(OR(任务!B111="",任务!C111="",任务!E111="",任务!G111="",任务!H111="",NOT(ISNUMBER(任务!I111)))))</f>
        <v>0</v>
      </c>
      <c r="E130" s="17">
        <f>IF($B130="",0,--(AND(任务!G111&lt;&gt;"",任务!H111&lt;&gt;"",任务!G111&gt;任务!H111)))</f>
        <v>0</v>
      </c>
      <c r="F130" s="17">
        <f>IF($B130="",0,--(OR(任务!I111&lt;0,任务!I111&gt;100)))</f>
        <v>0</v>
      </c>
      <c r="G130" s="17">
        <f>IF($B130="",0,IF(ISNUMBER(SEARCH(",",任务!J111)),0,IF(任务!J111="",0,--(COUNTIF(任务!$A$2:$A$301,TRIM(任务!J111))=0))))</f>
        <v>0</v>
      </c>
      <c r="H130" s="17">
        <f>IF($B130="",0,--(NOT(ISNUMBER(任务!I111))))</f>
        <v>0</v>
      </c>
      <c r="I130" s="17">
        <f t="shared" si="3"/>
        <v>0</v>
      </c>
    </row>
    <row r="131" spans="1:9">
      <c r="A131" s="15">
        <f t="shared" si="2"/>
        <v>112</v>
      </c>
      <c r="B131" s="16" t="str">
        <f>IF(任务!A112="","",任务!A112)</f>
        <v/>
      </c>
      <c r="C131" s="17">
        <f>IF($B131="",0,--(COUNTIF(任务!$A$2:$A$301,$B131)&gt;1))</f>
        <v>0</v>
      </c>
      <c r="D131" s="17">
        <f>IF($B131="",0,--(OR(任务!B112="",任务!C112="",任务!E112="",任务!G112="",任务!H112="",NOT(ISNUMBER(任务!I112)))))</f>
        <v>0</v>
      </c>
      <c r="E131" s="17">
        <f>IF($B131="",0,--(AND(任务!G112&lt;&gt;"",任务!H112&lt;&gt;"",任务!G112&gt;任务!H112)))</f>
        <v>0</v>
      </c>
      <c r="F131" s="17">
        <f>IF($B131="",0,--(OR(任务!I112&lt;0,任务!I112&gt;100)))</f>
        <v>0</v>
      </c>
      <c r="G131" s="17">
        <f>IF($B131="",0,IF(ISNUMBER(SEARCH(",",任务!J112)),0,IF(任务!J112="",0,--(COUNTIF(任务!$A$2:$A$301,TRIM(任务!J112))=0))))</f>
        <v>0</v>
      </c>
      <c r="H131" s="17">
        <f>IF($B131="",0,--(NOT(ISNUMBER(任务!I112))))</f>
        <v>0</v>
      </c>
      <c r="I131" s="17">
        <f t="shared" si="3"/>
        <v>0</v>
      </c>
    </row>
    <row r="132" spans="1:9">
      <c r="A132" s="15">
        <f t="shared" si="2"/>
        <v>113</v>
      </c>
      <c r="B132" s="16" t="str">
        <f>IF(任务!A113="","",任务!A113)</f>
        <v/>
      </c>
      <c r="C132" s="17">
        <f>IF($B132="",0,--(COUNTIF(任务!$A$2:$A$301,$B132)&gt;1))</f>
        <v>0</v>
      </c>
      <c r="D132" s="17">
        <f>IF($B132="",0,--(OR(任务!B113="",任务!C113="",任务!E113="",任务!G113="",任务!H113="",NOT(ISNUMBER(任务!I113)))))</f>
        <v>0</v>
      </c>
      <c r="E132" s="17">
        <f>IF($B132="",0,--(AND(任务!G113&lt;&gt;"",任务!H113&lt;&gt;"",任务!G113&gt;任务!H113)))</f>
        <v>0</v>
      </c>
      <c r="F132" s="17">
        <f>IF($B132="",0,--(OR(任务!I113&lt;0,任务!I113&gt;100)))</f>
        <v>0</v>
      </c>
      <c r="G132" s="17">
        <f>IF($B132="",0,IF(ISNUMBER(SEARCH(",",任务!J113)),0,IF(任务!J113="",0,--(COUNTIF(任务!$A$2:$A$301,TRIM(任务!J113))=0))))</f>
        <v>0</v>
      </c>
      <c r="H132" s="17">
        <f>IF($B132="",0,--(NOT(ISNUMBER(任务!I113))))</f>
        <v>0</v>
      </c>
      <c r="I132" s="17">
        <f t="shared" si="3"/>
        <v>0</v>
      </c>
    </row>
    <row r="133" spans="1:9">
      <c r="A133" s="15">
        <f t="shared" si="2"/>
        <v>114</v>
      </c>
      <c r="B133" s="16" t="str">
        <f>IF(任务!A114="","",任务!A114)</f>
        <v/>
      </c>
      <c r="C133" s="17">
        <f>IF($B133="",0,--(COUNTIF(任务!$A$2:$A$301,$B133)&gt;1))</f>
        <v>0</v>
      </c>
      <c r="D133" s="17">
        <f>IF($B133="",0,--(OR(任务!B114="",任务!C114="",任务!E114="",任务!G114="",任务!H114="",NOT(ISNUMBER(任务!I114)))))</f>
        <v>0</v>
      </c>
      <c r="E133" s="17">
        <f>IF($B133="",0,--(AND(任务!G114&lt;&gt;"",任务!H114&lt;&gt;"",任务!G114&gt;任务!H114)))</f>
        <v>0</v>
      </c>
      <c r="F133" s="17">
        <f>IF($B133="",0,--(OR(任务!I114&lt;0,任务!I114&gt;100)))</f>
        <v>0</v>
      </c>
      <c r="G133" s="17">
        <f>IF($B133="",0,IF(ISNUMBER(SEARCH(",",任务!J114)),0,IF(任务!J114="",0,--(COUNTIF(任务!$A$2:$A$301,TRIM(任务!J114))=0))))</f>
        <v>0</v>
      </c>
      <c r="H133" s="17">
        <f>IF($B133="",0,--(NOT(ISNUMBER(任务!I114))))</f>
        <v>0</v>
      </c>
      <c r="I133" s="17">
        <f t="shared" si="3"/>
        <v>0</v>
      </c>
    </row>
    <row r="134" spans="1:9">
      <c r="A134" s="15">
        <f t="shared" si="2"/>
        <v>115</v>
      </c>
      <c r="B134" s="16" t="str">
        <f>IF(任务!A115="","",任务!A115)</f>
        <v/>
      </c>
      <c r="C134" s="17">
        <f>IF($B134="",0,--(COUNTIF(任务!$A$2:$A$301,$B134)&gt;1))</f>
        <v>0</v>
      </c>
      <c r="D134" s="17">
        <f>IF($B134="",0,--(OR(任务!B115="",任务!C115="",任务!E115="",任务!G115="",任务!H115="",NOT(ISNUMBER(任务!I115)))))</f>
        <v>0</v>
      </c>
      <c r="E134" s="17">
        <f>IF($B134="",0,--(AND(任务!G115&lt;&gt;"",任务!H115&lt;&gt;"",任务!G115&gt;任务!H115)))</f>
        <v>0</v>
      </c>
      <c r="F134" s="17">
        <f>IF($B134="",0,--(OR(任务!I115&lt;0,任务!I115&gt;100)))</f>
        <v>0</v>
      </c>
      <c r="G134" s="17">
        <f>IF($B134="",0,IF(ISNUMBER(SEARCH(",",任务!J115)),0,IF(任务!J115="",0,--(COUNTIF(任务!$A$2:$A$301,TRIM(任务!J115))=0))))</f>
        <v>0</v>
      </c>
      <c r="H134" s="17">
        <f>IF($B134="",0,--(NOT(ISNUMBER(任务!I115))))</f>
        <v>0</v>
      </c>
      <c r="I134" s="17">
        <f t="shared" si="3"/>
        <v>0</v>
      </c>
    </row>
    <row r="135" spans="1:9">
      <c r="A135" s="15">
        <f t="shared" si="2"/>
        <v>116</v>
      </c>
      <c r="B135" s="16" t="str">
        <f>IF(任务!A116="","",任务!A116)</f>
        <v/>
      </c>
      <c r="C135" s="17">
        <f>IF($B135="",0,--(COUNTIF(任务!$A$2:$A$301,$B135)&gt;1))</f>
        <v>0</v>
      </c>
      <c r="D135" s="17">
        <f>IF($B135="",0,--(OR(任务!B116="",任务!C116="",任务!E116="",任务!G116="",任务!H116="",NOT(ISNUMBER(任务!I116)))))</f>
        <v>0</v>
      </c>
      <c r="E135" s="17">
        <f>IF($B135="",0,--(AND(任务!G116&lt;&gt;"",任务!H116&lt;&gt;"",任务!G116&gt;任务!H116)))</f>
        <v>0</v>
      </c>
      <c r="F135" s="17">
        <f>IF($B135="",0,--(OR(任务!I116&lt;0,任务!I116&gt;100)))</f>
        <v>0</v>
      </c>
      <c r="G135" s="17">
        <f>IF($B135="",0,IF(ISNUMBER(SEARCH(",",任务!J116)),0,IF(任务!J116="",0,--(COUNTIF(任务!$A$2:$A$301,TRIM(任务!J116))=0))))</f>
        <v>0</v>
      </c>
      <c r="H135" s="17">
        <f>IF($B135="",0,--(NOT(ISNUMBER(任务!I116))))</f>
        <v>0</v>
      </c>
      <c r="I135" s="17">
        <f t="shared" si="3"/>
        <v>0</v>
      </c>
    </row>
    <row r="136" spans="1:9">
      <c r="A136" s="15">
        <f t="shared" si="2"/>
        <v>117</v>
      </c>
      <c r="B136" s="16" t="str">
        <f>IF(任务!A117="","",任务!A117)</f>
        <v/>
      </c>
      <c r="C136" s="17">
        <f>IF($B136="",0,--(COUNTIF(任务!$A$2:$A$301,$B136)&gt;1))</f>
        <v>0</v>
      </c>
      <c r="D136" s="17">
        <f>IF($B136="",0,--(OR(任务!B117="",任务!C117="",任务!E117="",任务!G117="",任务!H117="",NOT(ISNUMBER(任务!I117)))))</f>
        <v>0</v>
      </c>
      <c r="E136" s="17">
        <f>IF($B136="",0,--(AND(任务!G117&lt;&gt;"",任务!H117&lt;&gt;"",任务!G117&gt;任务!H117)))</f>
        <v>0</v>
      </c>
      <c r="F136" s="17">
        <f>IF($B136="",0,--(OR(任务!I117&lt;0,任务!I117&gt;100)))</f>
        <v>0</v>
      </c>
      <c r="G136" s="17">
        <f>IF($B136="",0,IF(ISNUMBER(SEARCH(",",任务!J117)),0,IF(任务!J117="",0,--(COUNTIF(任务!$A$2:$A$301,TRIM(任务!J117))=0))))</f>
        <v>0</v>
      </c>
      <c r="H136" s="17">
        <f>IF($B136="",0,--(NOT(ISNUMBER(任务!I117))))</f>
        <v>0</v>
      </c>
      <c r="I136" s="17">
        <f t="shared" si="3"/>
        <v>0</v>
      </c>
    </row>
    <row r="137" spans="1:9">
      <c r="A137" s="15">
        <f t="shared" si="2"/>
        <v>118</v>
      </c>
      <c r="B137" s="16" t="str">
        <f>IF(任务!A118="","",任务!A118)</f>
        <v/>
      </c>
      <c r="C137" s="17">
        <f>IF($B137="",0,--(COUNTIF(任务!$A$2:$A$301,$B137)&gt;1))</f>
        <v>0</v>
      </c>
      <c r="D137" s="17">
        <f>IF($B137="",0,--(OR(任务!B118="",任务!C118="",任务!E118="",任务!G118="",任务!H118="",NOT(ISNUMBER(任务!I118)))))</f>
        <v>0</v>
      </c>
      <c r="E137" s="17">
        <f>IF($B137="",0,--(AND(任务!G118&lt;&gt;"",任务!H118&lt;&gt;"",任务!G118&gt;任务!H118)))</f>
        <v>0</v>
      </c>
      <c r="F137" s="17">
        <f>IF($B137="",0,--(OR(任务!I118&lt;0,任务!I118&gt;100)))</f>
        <v>0</v>
      </c>
      <c r="G137" s="17">
        <f>IF($B137="",0,IF(ISNUMBER(SEARCH(",",任务!J118)),0,IF(任务!J118="",0,--(COUNTIF(任务!$A$2:$A$301,TRIM(任务!J118))=0))))</f>
        <v>0</v>
      </c>
      <c r="H137" s="17">
        <f>IF($B137="",0,--(NOT(ISNUMBER(任务!I118))))</f>
        <v>0</v>
      </c>
      <c r="I137" s="17">
        <f t="shared" si="3"/>
        <v>0</v>
      </c>
    </row>
    <row r="138" spans="1:9">
      <c r="A138" s="15">
        <f t="shared" si="2"/>
        <v>119</v>
      </c>
      <c r="B138" s="16" t="str">
        <f>IF(任务!A119="","",任务!A119)</f>
        <v/>
      </c>
      <c r="C138" s="17">
        <f>IF($B138="",0,--(COUNTIF(任务!$A$2:$A$301,$B138)&gt;1))</f>
        <v>0</v>
      </c>
      <c r="D138" s="17">
        <f>IF($B138="",0,--(OR(任务!B119="",任务!C119="",任务!E119="",任务!G119="",任务!H119="",NOT(ISNUMBER(任务!I119)))))</f>
        <v>0</v>
      </c>
      <c r="E138" s="17">
        <f>IF($B138="",0,--(AND(任务!G119&lt;&gt;"",任务!H119&lt;&gt;"",任务!G119&gt;任务!H119)))</f>
        <v>0</v>
      </c>
      <c r="F138" s="17">
        <f>IF($B138="",0,--(OR(任务!I119&lt;0,任务!I119&gt;100)))</f>
        <v>0</v>
      </c>
      <c r="G138" s="17">
        <f>IF($B138="",0,IF(ISNUMBER(SEARCH(",",任务!J119)),0,IF(任务!J119="",0,--(COUNTIF(任务!$A$2:$A$301,TRIM(任务!J119))=0))))</f>
        <v>0</v>
      </c>
      <c r="H138" s="17">
        <f>IF($B138="",0,--(NOT(ISNUMBER(任务!I119))))</f>
        <v>0</v>
      </c>
      <c r="I138" s="17">
        <f t="shared" si="3"/>
        <v>0</v>
      </c>
    </row>
    <row r="139" spans="1:9">
      <c r="A139" s="15">
        <f t="shared" si="2"/>
        <v>120</v>
      </c>
      <c r="B139" s="16" t="str">
        <f>IF(任务!A120="","",任务!A120)</f>
        <v/>
      </c>
      <c r="C139" s="17">
        <f>IF($B139="",0,--(COUNTIF(任务!$A$2:$A$301,$B139)&gt;1))</f>
        <v>0</v>
      </c>
      <c r="D139" s="17">
        <f>IF($B139="",0,--(OR(任务!B120="",任务!C120="",任务!E120="",任务!G120="",任务!H120="",NOT(ISNUMBER(任务!I120)))))</f>
        <v>0</v>
      </c>
      <c r="E139" s="17">
        <f>IF($B139="",0,--(AND(任务!G120&lt;&gt;"",任务!H120&lt;&gt;"",任务!G120&gt;任务!H120)))</f>
        <v>0</v>
      </c>
      <c r="F139" s="17">
        <f>IF($B139="",0,--(OR(任务!I120&lt;0,任务!I120&gt;100)))</f>
        <v>0</v>
      </c>
      <c r="G139" s="17">
        <f>IF($B139="",0,IF(ISNUMBER(SEARCH(",",任务!J120)),0,IF(任务!J120="",0,--(COUNTIF(任务!$A$2:$A$301,TRIM(任务!J120))=0))))</f>
        <v>0</v>
      </c>
      <c r="H139" s="17">
        <f>IF($B139="",0,--(NOT(ISNUMBER(任务!I120))))</f>
        <v>0</v>
      </c>
      <c r="I139" s="17">
        <f t="shared" si="3"/>
        <v>0</v>
      </c>
    </row>
    <row r="140" spans="1:9">
      <c r="A140" s="15">
        <f t="shared" si="2"/>
        <v>121</v>
      </c>
      <c r="B140" s="16" t="str">
        <f>IF(任务!A121="","",任务!A121)</f>
        <v/>
      </c>
      <c r="C140" s="17">
        <f>IF($B140="",0,--(COUNTIF(任务!$A$2:$A$301,$B140)&gt;1))</f>
        <v>0</v>
      </c>
      <c r="D140" s="17">
        <f>IF($B140="",0,--(OR(任务!B121="",任务!C121="",任务!E121="",任务!G121="",任务!H121="",NOT(ISNUMBER(任务!I121)))))</f>
        <v>0</v>
      </c>
      <c r="E140" s="17">
        <f>IF($B140="",0,--(AND(任务!G121&lt;&gt;"",任务!H121&lt;&gt;"",任务!G121&gt;任务!H121)))</f>
        <v>0</v>
      </c>
      <c r="F140" s="17">
        <f>IF($B140="",0,--(OR(任务!I121&lt;0,任务!I121&gt;100)))</f>
        <v>0</v>
      </c>
      <c r="G140" s="17">
        <f>IF($B140="",0,IF(ISNUMBER(SEARCH(",",任务!J121)),0,IF(任务!J121="",0,--(COUNTIF(任务!$A$2:$A$301,TRIM(任务!J121))=0))))</f>
        <v>0</v>
      </c>
      <c r="H140" s="17">
        <f>IF($B140="",0,--(NOT(ISNUMBER(任务!I121))))</f>
        <v>0</v>
      </c>
      <c r="I140" s="17">
        <f t="shared" si="3"/>
        <v>0</v>
      </c>
    </row>
    <row r="141" spans="1:9">
      <c r="A141" s="15">
        <f t="shared" si="2"/>
        <v>122</v>
      </c>
      <c r="B141" s="16" t="str">
        <f>IF(任务!A122="","",任务!A122)</f>
        <v/>
      </c>
      <c r="C141" s="17">
        <f>IF($B141="",0,--(COUNTIF(任务!$A$2:$A$301,$B141)&gt;1))</f>
        <v>0</v>
      </c>
      <c r="D141" s="17">
        <f>IF($B141="",0,--(OR(任务!B122="",任务!C122="",任务!E122="",任务!G122="",任务!H122="",NOT(ISNUMBER(任务!I122)))))</f>
        <v>0</v>
      </c>
      <c r="E141" s="17">
        <f>IF($B141="",0,--(AND(任务!G122&lt;&gt;"",任务!H122&lt;&gt;"",任务!G122&gt;任务!H122)))</f>
        <v>0</v>
      </c>
      <c r="F141" s="17">
        <f>IF($B141="",0,--(OR(任务!I122&lt;0,任务!I122&gt;100)))</f>
        <v>0</v>
      </c>
      <c r="G141" s="17">
        <f>IF($B141="",0,IF(ISNUMBER(SEARCH(",",任务!J122)),0,IF(任务!J122="",0,--(COUNTIF(任务!$A$2:$A$301,TRIM(任务!J122))=0))))</f>
        <v>0</v>
      </c>
      <c r="H141" s="17">
        <f>IF($B141="",0,--(NOT(ISNUMBER(任务!I122))))</f>
        <v>0</v>
      </c>
      <c r="I141" s="17">
        <f t="shared" si="3"/>
        <v>0</v>
      </c>
    </row>
    <row r="142" spans="1:9">
      <c r="A142" s="15">
        <f t="shared" si="2"/>
        <v>123</v>
      </c>
      <c r="B142" s="16" t="str">
        <f>IF(任务!A123="","",任务!A123)</f>
        <v/>
      </c>
      <c r="C142" s="17">
        <f>IF($B142="",0,--(COUNTIF(任务!$A$2:$A$301,$B142)&gt;1))</f>
        <v>0</v>
      </c>
      <c r="D142" s="17">
        <f>IF($B142="",0,--(OR(任务!B123="",任务!C123="",任务!E123="",任务!G123="",任务!H123="",NOT(ISNUMBER(任务!I123)))))</f>
        <v>0</v>
      </c>
      <c r="E142" s="17">
        <f>IF($B142="",0,--(AND(任务!G123&lt;&gt;"",任务!H123&lt;&gt;"",任务!G123&gt;任务!H123)))</f>
        <v>0</v>
      </c>
      <c r="F142" s="17">
        <f>IF($B142="",0,--(OR(任务!I123&lt;0,任务!I123&gt;100)))</f>
        <v>0</v>
      </c>
      <c r="G142" s="17">
        <f>IF($B142="",0,IF(ISNUMBER(SEARCH(",",任务!J123)),0,IF(任务!J123="",0,--(COUNTIF(任务!$A$2:$A$301,TRIM(任务!J123))=0))))</f>
        <v>0</v>
      </c>
      <c r="H142" s="17">
        <f>IF($B142="",0,--(NOT(ISNUMBER(任务!I123))))</f>
        <v>0</v>
      </c>
      <c r="I142" s="17">
        <f t="shared" si="3"/>
        <v>0</v>
      </c>
    </row>
    <row r="143" spans="1:9">
      <c r="A143" s="15">
        <f t="shared" si="2"/>
        <v>124</v>
      </c>
      <c r="B143" s="16" t="str">
        <f>IF(任务!A124="","",任务!A124)</f>
        <v/>
      </c>
      <c r="C143" s="17">
        <f>IF($B143="",0,--(COUNTIF(任务!$A$2:$A$301,$B143)&gt;1))</f>
        <v>0</v>
      </c>
      <c r="D143" s="17">
        <f>IF($B143="",0,--(OR(任务!B124="",任务!C124="",任务!E124="",任务!G124="",任务!H124="",NOT(ISNUMBER(任务!I124)))))</f>
        <v>0</v>
      </c>
      <c r="E143" s="17">
        <f>IF($B143="",0,--(AND(任务!G124&lt;&gt;"",任务!H124&lt;&gt;"",任务!G124&gt;任务!H124)))</f>
        <v>0</v>
      </c>
      <c r="F143" s="17">
        <f>IF($B143="",0,--(OR(任务!I124&lt;0,任务!I124&gt;100)))</f>
        <v>0</v>
      </c>
      <c r="G143" s="17">
        <f>IF($B143="",0,IF(ISNUMBER(SEARCH(",",任务!J124)),0,IF(任务!J124="",0,--(COUNTIF(任务!$A$2:$A$301,TRIM(任务!J124))=0))))</f>
        <v>0</v>
      </c>
      <c r="H143" s="17">
        <f>IF($B143="",0,--(NOT(ISNUMBER(任务!I124))))</f>
        <v>0</v>
      </c>
      <c r="I143" s="17">
        <f t="shared" si="3"/>
        <v>0</v>
      </c>
    </row>
    <row r="144" spans="1:9">
      <c r="A144" s="15">
        <f t="shared" si="2"/>
        <v>125</v>
      </c>
      <c r="B144" s="16" t="str">
        <f>IF(任务!A125="","",任务!A125)</f>
        <v/>
      </c>
      <c r="C144" s="17">
        <f>IF($B144="",0,--(COUNTIF(任务!$A$2:$A$301,$B144)&gt;1))</f>
        <v>0</v>
      </c>
      <c r="D144" s="17">
        <f>IF($B144="",0,--(OR(任务!B125="",任务!C125="",任务!E125="",任务!G125="",任务!H125="",NOT(ISNUMBER(任务!I125)))))</f>
        <v>0</v>
      </c>
      <c r="E144" s="17">
        <f>IF($B144="",0,--(AND(任务!G125&lt;&gt;"",任务!H125&lt;&gt;"",任务!G125&gt;任务!H125)))</f>
        <v>0</v>
      </c>
      <c r="F144" s="17">
        <f>IF($B144="",0,--(OR(任务!I125&lt;0,任务!I125&gt;100)))</f>
        <v>0</v>
      </c>
      <c r="G144" s="17">
        <f>IF($B144="",0,IF(ISNUMBER(SEARCH(",",任务!J125)),0,IF(任务!J125="",0,--(COUNTIF(任务!$A$2:$A$301,TRIM(任务!J125))=0))))</f>
        <v>0</v>
      </c>
      <c r="H144" s="17">
        <f>IF($B144="",0,--(NOT(ISNUMBER(任务!I125))))</f>
        <v>0</v>
      </c>
      <c r="I144" s="17">
        <f t="shared" si="3"/>
        <v>0</v>
      </c>
    </row>
    <row r="145" spans="1:9">
      <c r="A145" s="15">
        <f t="shared" si="2"/>
        <v>126</v>
      </c>
      <c r="B145" s="16" t="str">
        <f>IF(任务!A126="","",任务!A126)</f>
        <v/>
      </c>
      <c r="C145" s="17">
        <f>IF($B145="",0,--(COUNTIF(任务!$A$2:$A$301,$B145)&gt;1))</f>
        <v>0</v>
      </c>
      <c r="D145" s="17">
        <f>IF($B145="",0,--(OR(任务!B126="",任务!C126="",任务!E126="",任务!G126="",任务!H126="",NOT(ISNUMBER(任务!I126)))))</f>
        <v>0</v>
      </c>
      <c r="E145" s="17">
        <f>IF($B145="",0,--(AND(任务!G126&lt;&gt;"",任务!H126&lt;&gt;"",任务!G126&gt;任务!H126)))</f>
        <v>0</v>
      </c>
      <c r="F145" s="17">
        <f>IF($B145="",0,--(OR(任务!I126&lt;0,任务!I126&gt;100)))</f>
        <v>0</v>
      </c>
      <c r="G145" s="17">
        <f>IF($B145="",0,IF(ISNUMBER(SEARCH(",",任务!J126)),0,IF(任务!J126="",0,--(COUNTIF(任务!$A$2:$A$301,TRIM(任务!J126))=0))))</f>
        <v>0</v>
      </c>
      <c r="H145" s="17">
        <f>IF($B145="",0,--(NOT(ISNUMBER(任务!I126))))</f>
        <v>0</v>
      </c>
      <c r="I145" s="17">
        <f t="shared" si="3"/>
        <v>0</v>
      </c>
    </row>
    <row r="146" spans="1:9">
      <c r="A146" s="15">
        <f t="shared" si="2"/>
        <v>127</v>
      </c>
      <c r="B146" s="16" t="str">
        <f>IF(任务!A127="","",任务!A127)</f>
        <v/>
      </c>
      <c r="C146" s="17">
        <f>IF($B146="",0,--(COUNTIF(任务!$A$2:$A$301,$B146)&gt;1))</f>
        <v>0</v>
      </c>
      <c r="D146" s="17">
        <f>IF($B146="",0,--(OR(任务!B127="",任务!C127="",任务!E127="",任务!G127="",任务!H127="",NOT(ISNUMBER(任务!I127)))))</f>
        <v>0</v>
      </c>
      <c r="E146" s="17">
        <f>IF($B146="",0,--(AND(任务!G127&lt;&gt;"",任务!H127&lt;&gt;"",任务!G127&gt;任务!H127)))</f>
        <v>0</v>
      </c>
      <c r="F146" s="17">
        <f>IF($B146="",0,--(OR(任务!I127&lt;0,任务!I127&gt;100)))</f>
        <v>0</v>
      </c>
      <c r="G146" s="17">
        <f>IF($B146="",0,IF(ISNUMBER(SEARCH(",",任务!J127)),0,IF(任务!J127="",0,--(COUNTIF(任务!$A$2:$A$301,TRIM(任务!J127))=0))))</f>
        <v>0</v>
      </c>
      <c r="H146" s="17">
        <f>IF($B146="",0,--(NOT(ISNUMBER(任务!I127))))</f>
        <v>0</v>
      </c>
      <c r="I146" s="17">
        <f t="shared" si="3"/>
        <v>0</v>
      </c>
    </row>
    <row r="147" spans="1:9">
      <c r="A147" s="15">
        <f t="shared" si="2"/>
        <v>128</v>
      </c>
      <c r="B147" s="16" t="str">
        <f>IF(任务!A128="","",任务!A128)</f>
        <v/>
      </c>
      <c r="C147" s="17">
        <f>IF($B147="",0,--(COUNTIF(任务!$A$2:$A$301,$B147)&gt;1))</f>
        <v>0</v>
      </c>
      <c r="D147" s="17">
        <f>IF($B147="",0,--(OR(任务!B128="",任务!C128="",任务!E128="",任务!G128="",任务!H128="",NOT(ISNUMBER(任务!I128)))))</f>
        <v>0</v>
      </c>
      <c r="E147" s="17">
        <f>IF($B147="",0,--(AND(任务!G128&lt;&gt;"",任务!H128&lt;&gt;"",任务!G128&gt;任务!H128)))</f>
        <v>0</v>
      </c>
      <c r="F147" s="17">
        <f>IF($B147="",0,--(OR(任务!I128&lt;0,任务!I128&gt;100)))</f>
        <v>0</v>
      </c>
      <c r="G147" s="17">
        <f>IF($B147="",0,IF(ISNUMBER(SEARCH(",",任务!J128)),0,IF(任务!J128="",0,--(COUNTIF(任务!$A$2:$A$301,TRIM(任务!J128))=0))))</f>
        <v>0</v>
      </c>
      <c r="H147" s="17">
        <f>IF($B147="",0,--(NOT(ISNUMBER(任务!I128))))</f>
        <v>0</v>
      </c>
      <c r="I147" s="17">
        <f t="shared" si="3"/>
        <v>0</v>
      </c>
    </row>
    <row r="148" spans="1:9">
      <c r="A148" s="15">
        <f t="shared" si="2"/>
        <v>129</v>
      </c>
      <c r="B148" s="16" t="str">
        <f>IF(任务!A129="","",任务!A129)</f>
        <v/>
      </c>
      <c r="C148" s="17">
        <f>IF($B148="",0,--(COUNTIF(任务!$A$2:$A$301,$B148)&gt;1))</f>
        <v>0</v>
      </c>
      <c r="D148" s="17">
        <f>IF($B148="",0,--(OR(任务!B129="",任务!C129="",任务!E129="",任务!G129="",任务!H129="",NOT(ISNUMBER(任务!I129)))))</f>
        <v>0</v>
      </c>
      <c r="E148" s="17">
        <f>IF($B148="",0,--(AND(任务!G129&lt;&gt;"",任务!H129&lt;&gt;"",任务!G129&gt;任务!H129)))</f>
        <v>0</v>
      </c>
      <c r="F148" s="17">
        <f>IF($B148="",0,--(OR(任务!I129&lt;0,任务!I129&gt;100)))</f>
        <v>0</v>
      </c>
      <c r="G148" s="17">
        <f>IF($B148="",0,IF(ISNUMBER(SEARCH(",",任务!J129)),0,IF(任务!J129="",0,--(COUNTIF(任务!$A$2:$A$301,TRIM(任务!J129))=0))))</f>
        <v>0</v>
      </c>
      <c r="H148" s="17">
        <f>IF($B148="",0,--(NOT(ISNUMBER(任务!I129))))</f>
        <v>0</v>
      </c>
      <c r="I148" s="17">
        <f t="shared" si="3"/>
        <v>0</v>
      </c>
    </row>
    <row r="149" spans="1:9">
      <c r="A149" s="15">
        <f t="shared" ref="A149:A212" si="4">ROW()-19</f>
        <v>130</v>
      </c>
      <c r="B149" s="16" t="str">
        <f>IF(任务!A130="","",任务!A130)</f>
        <v/>
      </c>
      <c r="C149" s="17">
        <f>IF($B149="",0,--(COUNTIF(任务!$A$2:$A$301,$B149)&gt;1))</f>
        <v>0</v>
      </c>
      <c r="D149" s="17">
        <f>IF($B149="",0,--(OR(任务!B130="",任务!C130="",任务!E130="",任务!G130="",任务!H130="",NOT(ISNUMBER(任务!I130)))))</f>
        <v>0</v>
      </c>
      <c r="E149" s="17">
        <f>IF($B149="",0,--(AND(任务!G130&lt;&gt;"",任务!H130&lt;&gt;"",任务!G130&gt;任务!H130)))</f>
        <v>0</v>
      </c>
      <c r="F149" s="17">
        <f>IF($B149="",0,--(OR(任务!I130&lt;0,任务!I130&gt;100)))</f>
        <v>0</v>
      </c>
      <c r="G149" s="17">
        <f>IF($B149="",0,IF(ISNUMBER(SEARCH(",",任务!J130)),0,IF(任务!J130="",0,--(COUNTIF(任务!$A$2:$A$301,TRIM(任务!J130))=0))))</f>
        <v>0</v>
      </c>
      <c r="H149" s="17">
        <f>IF($B149="",0,--(NOT(ISNUMBER(任务!I130))))</f>
        <v>0</v>
      </c>
      <c r="I149" s="17">
        <f t="shared" ref="I149:I212" si="5">IF($B149="",0,C149+D149+E149+F149+G149+I149)</f>
        <v>0</v>
      </c>
    </row>
    <row r="150" spans="1:9">
      <c r="A150" s="15">
        <f t="shared" si="4"/>
        <v>131</v>
      </c>
      <c r="B150" s="16" t="str">
        <f>IF(任务!A131="","",任务!A131)</f>
        <v/>
      </c>
      <c r="C150" s="17">
        <f>IF($B150="",0,--(COUNTIF(任务!$A$2:$A$301,$B150)&gt;1))</f>
        <v>0</v>
      </c>
      <c r="D150" s="17">
        <f>IF($B150="",0,--(OR(任务!B131="",任务!C131="",任务!E131="",任务!G131="",任务!H131="",NOT(ISNUMBER(任务!I131)))))</f>
        <v>0</v>
      </c>
      <c r="E150" s="17">
        <f>IF($B150="",0,--(AND(任务!G131&lt;&gt;"",任务!H131&lt;&gt;"",任务!G131&gt;任务!H131)))</f>
        <v>0</v>
      </c>
      <c r="F150" s="17">
        <f>IF($B150="",0,--(OR(任务!I131&lt;0,任务!I131&gt;100)))</f>
        <v>0</v>
      </c>
      <c r="G150" s="17">
        <f>IF($B150="",0,IF(ISNUMBER(SEARCH(",",任务!J131)),0,IF(任务!J131="",0,--(COUNTIF(任务!$A$2:$A$301,TRIM(任务!J131))=0))))</f>
        <v>0</v>
      </c>
      <c r="H150" s="17">
        <f>IF($B150="",0,--(NOT(ISNUMBER(任务!I131))))</f>
        <v>0</v>
      </c>
      <c r="I150" s="17">
        <f t="shared" si="5"/>
        <v>0</v>
      </c>
    </row>
    <row r="151" spans="1:9">
      <c r="A151" s="15">
        <f t="shared" si="4"/>
        <v>132</v>
      </c>
      <c r="B151" s="16" t="str">
        <f>IF(任务!A132="","",任务!A132)</f>
        <v/>
      </c>
      <c r="C151" s="17">
        <f>IF($B151="",0,--(COUNTIF(任务!$A$2:$A$301,$B151)&gt;1))</f>
        <v>0</v>
      </c>
      <c r="D151" s="17">
        <f>IF($B151="",0,--(OR(任务!B132="",任务!C132="",任务!E132="",任务!G132="",任务!H132="",NOT(ISNUMBER(任务!I132)))))</f>
        <v>0</v>
      </c>
      <c r="E151" s="17">
        <f>IF($B151="",0,--(AND(任务!G132&lt;&gt;"",任务!H132&lt;&gt;"",任务!G132&gt;任务!H132)))</f>
        <v>0</v>
      </c>
      <c r="F151" s="17">
        <f>IF($B151="",0,--(OR(任务!I132&lt;0,任务!I132&gt;100)))</f>
        <v>0</v>
      </c>
      <c r="G151" s="17">
        <f>IF($B151="",0,IF(ISNUMBER(SEARCH(",",任务!J132)),0,IF(任务!J132="",0,--(COUNTIF(任务!$A$2:$A$301,TRIM(任务!J132))=0))))</f>
        <v>0</v>
      </c>
      <c r="H151" s="17">
        <f>IF($B151="",0,--(NOT(ISNUMBER(任务!I132))))</f>
        <v>0</v>
      </c>
      <c r="I151" s="17">
        <f t="shared" si="5"/>
        <v>0</v>
      </c>
    </row>
    <row r="152" spans="1:9">
      <c r="A152" s="15">
        <f t="shared" si="4"/>
        <v>133</v>
      </c>
      <c r="B152" s="16" t="str">
        <f>IF(任务!A133="","",任务!A133)</f>
        <v/>
      </c>
      <c r="C152" s="17">
        <f>IF($B152="",0,--(COUNTIF(任务!$A$2:$A$301,$B152)&gt;1))</f>
        <v>0</v>
      </c>
      <c r="D152" s="17">
        <f>IF($B152="",0,--(OR(任务!B133="",任务!C133="",任务!E133="",任务!G133="",任务!H133="",NOT(ISNUMBER(任务!I133)))))</f>
        <v>0</v>
      </c>
      <c r="E152" s="17">
        <f>IF($B152="",0,--(AND(任务!G133&lt;&gt;"",任务!H133&lt;&gt;"",任务!G133&gt;任务!H133)))</f>
        <v>0</v>
      </c>
      <c r="F152" s="17">
        <f>IF($B152="",0,--(OR(任务!I133&lt;0,任务!I133&gt;100)))</f>
        <v>0</v>
      </c>
      <c r="G152" s="17">
        <f>IF($B152="",0,IF(ISNUMBER(SEARCH(",",任务!J133)),0,IF(任务!J133="",0,--(COUNTIF(任务!$A$2:$A$301,TRIM(任务!J133))=0))))</f>
        <v>0</v>
      </c>
      <c r="H152" s="17">
        <f>IF($B152="",0,--(NOT(ISNUMBER(任务!I133))))</f>
        <v>0</v>
      </c>
      <c r="I152" s="17">
        <f t="shared" si="5"/>
        <v>0</v>
      </c>
    </row>
    <row r="153" spans="1:9">
      <c r="A153" s="15">
        <f t="shared" si="4"/>
        <v>134</v>
      </c>
      <c r="B153" s="16" t="str">
        <f>IF(任务!A134="","",任务!A134)</f>
        <v/>
      </c>
      <c r="C153" s="17">
        <f>IF($B153="",0,--(COUNTIF(任务!$A$2:$A$301,$B153)&gt;1))</f>
        <v>0</v>
      </c>
      <c r="D153" s="17">
        <f>IF($B153="",0,--(OR(任务!B134="",任务!C134="",任务!E134="",任务!G134="",任务!H134="",NOT(ISNUMBER(任务!I134)))))</f>
        <v>0</v>
      </c>
      <c r="E153" s="17">
        <f>IF($B153="",0,--(AND(任务!G134&lt;&gt;"",任务!H134&lt;&gt;"",任务!G134&gt;任务!H134)))</f>
        <v>0</v>
      </c>
      <c r="F153" s="17">
        <f>IF($B153="",0,--(OR(任务!I134&lt;0,任务!I134&gt;100)))</f>
        <v>0</v>
      </c>
      <c r="G153" s="17">
        <f>IF($B153="",0,IF(ISNUMBER(SEARCH(",",任务!J134)),0,IF(任务!J134="",0,--(COUNTIF(任务!$A$2:$A$301,TRIM(任务!J134))=0))))</f>
        <v>0</v>
      </c>
      <c r="H153" s="17">
        <f>IF($B153="",0,--(NOT(ISNUMBER(任务!I134))))</f>
        <v>0</v>
      </c>
      <c r="I153" s="17">
        <f t="shared" si="5"/>
        <v>0</v>
      </c>
    </row>
    <row r="154" spans="1:9">
      <c r="A154" s="15">
        <f t="shared" si="4"/>
        <v>135</v>
      </c>
      <c r="B154" s="16" t="str">
        <f>IF(任务!A135="","",任务!A135)</f>
        <v/>
      </c>
      <c r="C154" s="17">
        <f>IF($B154="",0,--(COUNTIF(任务!$A$2:$A$301,$B154)&gt;1))</f>
        <v>0</v>
      </c>
      <c r="D154" s="17">
        <f>IF($B154="",0,--(OR(任务!B135="",任务!C135="",任务!E135="",任务!G135="",任务!H135="",NOT(ISNUMBER(任务!I135)))))</f>
        <v>0</v>
      </c>
      <c r="E154" s="17">
        <f>IF($B154="",0,--(AND(任务!G135&lt;&gt;"",任务!H135&lt;&gt;"",任务!G135&gt;任务!H135)))</f>
        <v>0</v>
      </c>
      <c r="F154" s="17">
        <f>IF($B154="",0,--(OR(任务!I135&lt;0,任务!I135&gt;100)))</f>
        <v>0</v>
      </c>
      <c r="G154" s="17">
        <f>IF($B154="",0,IF(ISNUMBER(SEARCH(",",任务!J135)),0,IF(任务!J135="",0,--(COUNTIF(任务!$A$2:$A$301,TRIM(任务!J135))=0))))</f>
        <v>0</v>
      </c>
      <c r="H154" s="17">
        <f>IF($B154="",0,--(NOT(ISNUMBER(任务!I135))))</f>
        <v>0</v>
      </c>
      <c r="I154" s="17">
        <f t="shared" si="5"/>
        <v>0</v>
      </c>
    </row>
    <row r="155" spans="1:9">
      <c r="A155" s="15">
        <f t="shared" si="4"/>
        <v>136</v>
      </c>
      <c r="B155" s="16" t="str">
        <f>IF(任务!A136="","",任务!A136)</f>
        <v/>
      </c>
      <c r="C155" s="17">
        <f>IF($B155="",0,--(COUNTIF(任务!$A$2:$A$301,$B155)&gt;1))</f>
        <v>0</v>
      </c>
      <c r="D155" s="17">
        <f>IF($B155="",0,--(OR(任务!B136="",任务!C136="",任务!E136="",任务!G136="",任务!H136="",NOT(ISNUMBER(任务!I136)))))</f>
        <v>0</v>
      </c>
      <c r="E155" s="17">
        <f>IF($B155="",0,--(AND(任务!G136&lt;&gt;"",任务!H136&lt;&gt;"",任务!G136&gt;任务!H136)))</f>
        <v>0</v>
      </c>
      <c r="F155" s="17">
        <f>IF($B155="",0,--(OR(任务!I136&lt;0,任务!I136&gt;100)))</f>
        <v>0</v>
      </c>
      <c r="G155" s="17">
        <f>IF($B155="",0,IF(ISNUMBER(SEARCH(",",任务!J136)),0,IF(任务!J136="",0,--(COUNTIF(任务!$A$2:$A$301,TRIM(任务!J136))=0))))</f>
        <v>0</v>
      </c>
      <c r="H155" s="17">
        <f>IF($B155="",0,--(NOT(ISNUMBER(任务!I136))))</f>
        <v>0</v>
      </c>
      <c r="I155" s="17">
        <f t="shared" si="5"/>
        <v>0</v>
      </c>
    </row>
    <row r="156" spans="1:9">
      <c r="A156" s="15">
        <f t="shared" si="4"/>
        <v>137</v>
      </c>
      <c r="B156" s="16" t="str">
        <f>IF(任务!A137="","",任务!A137)</f>
        <v/>
      </c>
      <c r="C156" s="17">
        <f>IF($B156="",0,--(COUNTIF(任务!$A$2:$A$301,$B156)&gt;1))</f>
        <v>0</v>
      </c>
      <c r="D156" s="17">
        <f>IF($B156="",0,--(OR(任务!B137="",任务!C137="",任务!E137="",任务!G137="",任务!H137="",NOT(ISNUMBER(任务!I137)))))</f>
        <v>0</v>
      </c>
      <c r="E156" s="17">
        <f>IF($B156="",0,--(AND(任务!G137&lt;&gt;"",任务!H137&lt;&gt;"",任务!G137&gt;任务!H137)))</f>
        <v>0</v>
      </c>
      <c r="F156" s="17">
        <f>IF($B156="",0,--(OR(任务!I137&lt;0,任务!I137&gt;100)))</f>
        <v>0</v>
      </c>
      <c r="G156" s="17">
        <f>IF($B156="",0,IF(ISNUMBER(SEARCH(",",任务!J137)),0,IF(任务!J137="",0,--(COUNTIF(任务!$A$2:$A$301,TRIM(任务!J137))=0))))</f>
        <v>0</v>
      </c>
      <c r="H156" s="17">
        <f>IF($B156="",0,--(NOT(ISNUMBER(任务!I137))))</f>
        <v>0</v>
      </c>
      <c r="I156" s="17">
        <f t="shared" si="5"/>
        <v>0</v>
      </c>
    </row>
    <row r="157" spans="1:9">
      <c r="A157" s="15">
        <f t="shared" si="4"/>
        <v>138</v>
      </c>
      <c r="B157" s="16" t="str">
        <f>IF(任务!A138="","",任务!A138)</f>
        <v/>
      </c>
      <c r="C157" s="17">
        <f>IF($B157="",0,--(COUNTIF(任务!$A$2:$A$301,$B157)&gt;1))</f>
        <v>0</v>
      </c>
      <c r="D157" s="17">
        <f>IF($B157="",0,--(OR(任务!B138="",任务!C138="",任务!E138="",任务!G138="",任务!H138="",NOT(ISNUMBER(任务!I138)))))</f>
        <v>0</v>
      </c>
      <c r="E157" s="17">
        <f>IF($B157="",0,--(AND(任务!G138&lt;&gt;"",任务!H138&lt;&gt;"",任务!G138&gt;任务!H138)))</f>
        <v>0</v>
      </c>
      <c r="F157" s="17">
        <f>IF($B157="",0,--(OR(任务!I138&lt;0,任务!I138&gt;100)))</f>
        <v>0</v>
      </c>
      <c r="G157" s="17">
        <f>IF($B157="",0,IF(ISNUMBER(SEARCH(",",任务!J138)),0,IF(任务!J138="",0,--(COUNTIF(任务!$A$2:$A$301,TRIM(任务!J138))=0))))</f>
        <v>0</v>
      </c>
      <c r="H157" s="17">
        <f>IF($B157="",0,--(NOT(ISNUMBER(任务!I138))))</f>
        <v>0</v>
      </c>
      <c r="I157" s="17">
        <f t="shared" si="5"/>
        <v>0</v>
      </c>
    </row>
    <row r="158" spans="1:9">
      <c r="A158" s="15">
        <f t="shared" si="4"/>
        <v>139</v>
      </c>
      <c r="B158" s="16" t="str">
        <f>IF(任务!A139="","",任务!A139)</f>
        <v/>
      </c>
      <c r="C158" s="17">
        <f>IF($B158="",0,--(COUNTIF(任务!$A$2:$A$301,$B158)&gt;1))</f>
        <v>0</v>
      </c>
      <c r="D158" s="17">
        <f>IF($B158="",0,--(OR(任务!B139="",任务!C139="",任务!E139="",任务!G139="",任务!H139="",NOT(ISNUMBER(任务!I139)))))</f>
        <v>0</v>
      </c>
      <c r="E158" s="17">
        <f>IF($B158="",0,--(AND(任务!G139&lt;&gt;"",任务!H139&lt;&gt;"",任务!G139&gt;任务!H139)))</f>
        <v>0</v>
      </c>
      <c r="F158" s="17">
        <f>IF($B158="",0,--(OR(任务!I139&lt;0,任务!I139&gt;100)))</f>
        <v>0</v>
      </c>
      <c r="G158" s="17">
        <f>IF($B158="",0,IF(ISNUMBER(SEARCH(",",任务!J139)),0,IF(任务!J139="",0,--(COUNTIF(任务!$A$2:$A$301,TRIM(任务!J139))=0))))</f>
        <v>0</v>
      </c>
      <c r="H158" s="17">
        <f>IF($B158="",0,--(NOT(ISNUMBER(任务!I139))))</f>
        <v>0</v>
      </c>
      <c r="I158" s="17">
        <f t="shared" si="5"/>
        <v>0</v>
      </c>
    </row>
    <row r="159" spans="1:9">
      <c r="A159" s="15">
        <f t="shared" si="4"/>
        <v>140</v>
      </c>
      <c r="B159" s="16" t="str">
        <f>IF(任务!A140="","",任务!A140)</f>
        <v/>
      </c>
      <c r="C159" s="17">
        <f>IF($B159="",0,--(COUNTIF(任务!$A$2:$A$301,$B159)&gt;1))</f>
        <v>0</v>
      </c>
      <c r="D159" s="17">
        <f>IF($B159="",0,--(OR(任务!B140="",任务!C140="",任务!E140="",任务!G140="",任务!H140="",NOT(ISNUMBER(任务!I140)))))</f>
        <v>0</v>
      </c>
      <c r="E159" s="17">
        <f>IF($B159="",0,--(AND(任务!G140&lt;&gt;"",任务!H140&lt;&gt;"",任务!G140&gt;任务!H140)))</f>
        <v>0</v>
      </c>
      <c r="F159" s="17">
        <f>IF($B159="",0,--(OR(任务!I140&lt;0,任务!I140&gt;100)))</f>
        <v>0</v>
      </c>
      <c r="G159" s="17">
        <f>IF($B159="",0,IF(ISNUMBER(SEARCH(",",任务!J140)),0,IF(任务!J140="",0,--(COUNTIF(任务!$A$2:$A$301,TRIM(任务!J140))=0))))</f>
        <v>0</v>
      </c>
      <c r="H159" s="17">
        <f>IF($B159="",0,--(NOT(ISNUMBER(任务!I140))))</f>
        <v>0</v>
      </c>
      <c r="I159" s="17">
        <f t="shared" si="5"/>
        <v>0</v>
      </c>
    </row>
    <row r="160" spans="1:9">
      <c r="A160" s="15">
        <f t="shared" si="4"/>
        <v>141</v>
      </c>
      <c r="B160" s="16" t="str">
        <f>IF(任务!A141="","",任务!A141)</f>
        <v/>
      </c>
      <c r="C160" s="17">
        <f>IF($B160="",0,--(COUNTIF(任务!$A$2:$A$301,$B160)&gt;1))</f>
        <v>0</v>
      </c>
      <c r="D160" s="17">
        <f>IF($B160="",0,--(OR(任务!B141="",任务!C141="",任务!E141="",任务!G141="",任务!H141="",NOT(ISNUMBER(任务!I141)))))</f>
        <v>0</v>
      </c>
      <c r="E160" s="17">
        <f>IF($B160="",0,--(AND(任务!G141&lt;&gt;"",任务!H141&lt;&gt;"",任务!G141&gt;任务!H141)))</f>
        <v>0</v>
      </c>
      <c r="F160" s="17">
        <f>IF($B160="",0,--(OR(任务!I141&lt;0,任务!I141&gt;100)))</f>
        <v>0</v>
      </c>
      <c r="G160" s="17">
        <f>IF($B160="",0,IF(ISNUMBER(SEARCH(",",任务!J141)),0,IF(任务!J141="",0,--(COUNTIF(任务!$A$2:$A$301,TRIM(任务!J141))=0))))</f>
        <v>0</v>
      </c>
      <c r="H160" s="17">
        <f>IF($B160="",0,--(NOT(ISNUMBER(任务!I141))))</f>
        <v>0</v>
      </c>
      <c r="I160" s="17">
        <f t="shared" si="5"/>
        <v>0</v>
      </c>
    </row>
    <row r="161" spans="1:9">
      <c r="A161" s="15">
        <f t="shared" si="4"/>
        <v>142</v>
      </c>
      <c r="B161" s="16" t="str">
        <f>IF(任务!A142="","",任务!A142)</f>
        <v/>
      </c>
      <c r="C161" s="17">
        <f>IF($B161="",0,--(COUNTIF(任务!$A$2:$A$301,$B161)&gt;1))</f>
        <v>0</v>
      </c>
      <c r="D161" s="17">
        <f>IF($B161="",0,--(OR(任务!B142="",任务!C142="",任务!E142="",任务!G142="",任务!H142="",NOT(ISNUMBER(任务!I142)))))</f>
        <v>0</v>
      </c>
      <c r="E161" s="17">
        <f>IF($B161="",0,--(AND(任务!G142&lt;&gt;"",任务!H142&lt;&gt;"",任务!G142&gt;任务!H142)))</f>
        <v>0</v>
      </c>
      <c r="F161" s="17">
        <f>IF($B161="",0,--(OR(任务!I142&lt;0,任务!I142&gt;100)))</f>
        <v>0</v>
      </c>
      <c r="G161" s="17">
        <f>IF($B161="",0,IF(ISNUMBER(SEARCH(",",任务!J142)),0,IF(任务!J142="",0,--(COUNTIF(任务!$A$2:$A$301,TRIM(任务!J142))=0))))</f>
        <v>0</v>
      </c>
      <c r="H161" s="17">
        <f>IF($B161="",0,--(NOT(ISNUMBER(任务!I142))))</f>
        <v>0</v>
      </c>
      <c r="I161" s="17">
        <f t="shared" si="5"/>
        <v>0</v>
      </c>
    </row>
    <row r="162" spans="1:9">
      <c r="A162" s="15">
        <f t="shared" si="4"/>
        <v>143</v>
      </c>
      <c r="B162" s="16" t="str">
        <f>IF(任务!A143="","",任务!A143)</f>
        <v/>
      </c>
      <c r="C162" s="17">
        <f>IF($B162="",0,--(COUNTIF(任务!$A$2:$A$301,$B162)&gt;1))</f>
        <v>0</v>
      </c>
      <c r="D162" s="17">
        <f>IF($B162="",0,--(OR(任务!B143="",任务!C143="",任务!E143="",任务!G143="",任务!H143="",NOT(ISNUMBER(任务!I143)))))</f>
        <v>0</v>
      </c>
      <c r="E162" s="17">
        <f>IF($B162="",0,--(AND(任务!G143&lt;&gt;"",任务!H143&lt;&gt;"",任务!G143&gt;任务!H143)))</f>
        <v>0</v>
      </c>
      <c r="F162" s="17">
        <f>IF($B162="",0,--(OR(任务!I143&lt;0,任务!I143&gt;100)))</f>
        <v>0</v>
      </c>
      <c r="G162" s="17">
        <f>IF($B162="",0,IF(ISNUMBER(SEARCH(",",任务!J143)),0,IF(任务!J143="",0,--(COUNTIF(任务!$A$2:$A$301,TRIM(任务!J143))=0))))</f>
        <v>0</v>
      </c>
      <c r="H162" s="17">
        <f>IF($B162="",0,--(NOT(ISNUMBER(任务!I143))))</f>
        <v>0</v>
      </c>
      <c r="I162" s="17">
        <f t="shared" si="5"/>
        <v>0</v>
      </c>
    </row>
    <row r="163" spans="1:9">
      <c r="A163" s="15">
        <f t="shared" si="4"/>
        <v>144</v>
      </c>
      <c r="B163" s="16" t="str">
        <f>IF(任务!A144="","",任务!A144)</f>
        <v/>
      </c>
      <c r="C163" s="17">
        <f>IF($B163="",0,--(COUNTIF(任务!$A$2:$A$301,$B163)&gt;1))</f>
        <v>0</v>
      </c>
      <c r="D163" s="17">
        <f>IF($B163="",0,--(OR(任务!B144="",任务!C144="",任务!E144="",任务!G144="",任务!H144="",NOT(ISNUMBER(任务!I144)))))</f>
        <v>0</v>
      </c>
      <c r="E163" s="17">
        <f>IF($B163="",0,--(AND(任务!G144&lt;&gt;"",任务!H144&lt;&gt;"",任务!G144&gt;任务!H144)))</f>
        <v>0</v>
      </c>
      <c r="F163" s="17">
        <f>IF($B163="",0,--(OR(任务!I144&lt;0,任务!I144&gt;100)))</f>
        <v>0</v>
      </c>
      <c r="G163" s="17">
        <f>IF($B163="",0,IF(ISNUMBER(SEARCH(",",任务!J144)),0,IF(任务!J144="",0,--(COUNTIF(任务!$A$2:$A$301,TRIM(任务!J144))=0))))</f>
        <v>0</v>
      </c>
      <c r="H163" s="17">
        <f>IF($B163="",0,--(NOT(ISNUMBER(任务!I144))))</f>
        <v>0</v>
      </c>
      <c r="I163" s="17">
        <f t="shared" si="5"/>
        <v>0</v>
      </c>
    </row>
    <row r="164" spans="1:9">
      <c r="A164" s="15">
        <f t="shared" si="4"/>
        <v>145</v>
      </c>
      <c r="B164" s="16" t="str">
        <f>IF(任务!A145="","",任务!A145)</f>
        <v/>
      </c>
      <c r="C164" s="17">
        <f>IF($B164="",0,--(COUNTIF(任务!$A$2:$A$301,$B164)&gt;1))</f>
        <v>0</v>
      </c>
      <c r="D164" s="17">
        <f>IF($B164="",0,--(OR(任务!B145="",任务!C145="",任务!E145="",任务!G145="",任务!H145="",NOT(ISNUMBER(任务!I145)))))</f>
        <v>0</v>
      </c>
      <c r="E164" s="17">
        <f>IF($B164="",0,--(AND(任务!G145&lt;&gt;"",任务!H145&lt;&gt;"",任务!G145&gt;任务!H145)))</f>
        <v>0</v>
      </c>
      <c r="F164" s="17">
        <f>IF($B164="",0,--(OR(任务!I145&lt;0,任务!I145&gt;100)))</f>
        <v>0</v>
      </c>
      <c r="G164" s="17">
        <f>IF($B164="",0,IF(ISNUMBER(SEARCH(",",任务!J145)),0,IF(任务!J145="",0,--(COUNTIF(任务!$A$2:$A$301,TRIM(任务!J145))=0))))</f>
        <v>0</v>
      </c>
      <c r="H164" s="17">
        <f>IF($B164="",0,--(NOT(ISNUMBER(任务!I145))))</f>
        <v>0</v>
      </c>
      <c r="I164" s="17">
        <f t="shared" si="5"/>
        <v>0</v>
      </c>
    </row>
    <row r="165" spans="1:9">
      <c r="A165" s="15">
        <f t="shared" si="4"/>
        <v>146</v>
      </c>
      <c r="B165" s="16" t="str">
        <f>IF(任务!A146="","",任务!A146)</f>
        <v/>
      </c>
      <c r="C165" s="17">
        <f>IF($B165="",0,--(COUNTIF(任务!$A$2:$A$301,$B165)&gt;1))</f>
        <v>0</v>
      </c>
      <c r="D165" s="17">
        <f>IF($B165="",0,--(OR(任务!B146="",任务!C146="",任务!E146="",任务!G146="",任务!H146="",NOT(ISNUMBER(任务!I146)))))</f>
        <v>0</v>
      </c>
      <c r="E165" s="17">
        <f>IF($B165="",0,--(AND(任务!G146&lt;&gt;"",任务!H146&lt;&gt;"",任务!G146&gt;任务!H146)))</f>
        <v>0</v>
      </c>
      <c r="F165" s="17">
        <f>IF($B165="",0,--(OR(任务!I146&lt;0,任务!I146&gt;100)))</f>
        <v>0</v>
      </c>
      <c r="G165" s="17">
        <f>IF($B165="",0,IF(ISNUMBER(SEARCH(",",任务!J146)),0,IF(任务!J146="",0,--(COUNTIF(任务!$A$2:$A$301,TRIM(任务!J146))=0))))</f>
        <v>0</v>
      </c>
      <c r="H165" s="17">
        <f>IF($B165="",0,--(NOT(ISNUMBER(任务!I146))))</f>
        <v>0</v>
      </c>
      <c r="I165" s="17">
        <f t="shared" si="5"/>
        <v>0</v>
      </c>
    </row>
    <row r="166" spans="1:9">
      <c r="A166" s="15">
        <f t="shared" si="4"/>
        <v>147</v>
      </c>
      <c r="B166" s="16" t="str">
        <f>IF(任务!A147="","",任务!A147)</f>
        <v/>
      </c>
      <c r="C166" s="17">
        <f>IF($B166="",0,--(COUNTIF(任务!$A$2:$A$301,$B166)&gt;1))</f>
        <v>0</v>
      </c>
      <c r="D166" s="17">
        <f>IF($B166="",0,--(OR(任务!B147="",任务!C147="",任务!E147="",任务!G147="",任务!H147="",NOT(ISNUMBER(任务!I147)))))</f>
        <v>0</v>
      </c>
      <c r="E166" s="17">
        <f>IF($B166="",0,--(AND(任务!G147&lt;&gt;"",任务!H147&lt;&gt;"",任务!G147&gt;任务!H147)))</f>
        <v>0</v>
      </c>
      <c r="F166" s="17">
        <f>IF($B166="",0,--(OR(任务!I147&lt;0,任务!I147&gt;100)))</f>
        <v>0</v>
      </c>
      <c r="G166" s="17">
        <f>IF($B166="",0,IF(ISNUMBER(SEARCH(",",任务!J147)),0,IF(任务!J147="",0,--(COUNTIF(任务!$A$2:$A$301,TRIM(任务!J147))=0))))</f>
        <v>0</v>
      </c>
      <c r="H166" s="17">
        <f>IF($B166="",0,--(NOT(ISNUMBER(任务!I147))))</f>
        <v>0</v>
      </c>
      <c r="I166" s="17">
        <f t="shared" si="5"/>
        <v>0</v>
      </c>
    </row>
    <row r="167" spans="1:9">
      <c r="A167" s="15">
        <f t="shared" si="4"/>
        <v>148</v>
      </c>
      <c r="B167" s="16" t="str">
        <f>IF(任务!A148="","",任务!A148)</f>
        <v/>
      </c>
      <c r="C167" s="17">
        <f>IF($B167="",0,--(COUNTIF(任务!$A$2:$A$301,$B167)&gt;1))</f>
        <v>0</v>
      </c>
      <c r="D167" s="17">
        <f>IF($B167="",0,--(OR(任务!B148="",任务!C148="",任务!E148="",任务!G148="",任务!H148="",NOT(ISNUMBER(任务!I148)))))</f>
        <v>0</v>
      </c>
      <c r="E167" s="17">
        <f>IF($B167="",0,--(AND(任务!G148&lt;&gt;"",任务!H148&lt;&gt;"",任务!G148&gt;任务!H148)))</f>
        <v>0</v>
      </c>
      <c r="F167" s="17">
        <f>IF($B167="",0,--(OR(任务!I148&lt;0,任务!I148&gt;100)))</f>
        <v>0</v>
      </c>
      <c r="G167" s="17">
        <f>IF($B167="",0,IF(ISNUMBER(SEARCH(",",任务!J148)),0,IF(任务!J148="",0,--(COUNTIF(任务!$A$2:$A$301,TRIM(任务!J148))=0))))</f>
        <v>0</v>
      </c>
      <c r="H167" s="17">
        <f>IF($B167="",0,--(NOT(ISNUMBER(任务!I148))))</f>
        <v>0</v>
      </c>
      <c r="I167" s="17">
        <f t="shared" si="5"/>
        <v>0</v>
      </c>
    </row>
    <row r="168" spans="1:9">
      <c r="A168" s="15">
        <f t="shared" si="4"/>
        <v>149</v>
      </c>
      <c r="B168" s="16" t="str">
        <f>IF(任务!A149="","",任务!A149)</f>
        <v/>
      </c>
      <c r="C168" s="17">
        <f>IF($B168="",0,--(COUNTIF(任务!$A$2:$A$301,$B168)&gt;1))</f>
        <v>0</v>
      </c>
      <c r="D168" s="17">
        <f>IF($B168="",0,--(OR(任务!B149="",任务!C149="",任务!E149="",任务!G149="",任务!H149="",NOT(ISNUMBER(任务!I149)))))</f>
        <v>0</v>
      </c>
      <c r="E168" s="17">
        <f>IF($B168="",0,--(AND(任务!G149&lt;&gt;"",任务!H149&lt;&gt;"",任务!G149&gt;任务!H149)))</f>
        <v>0</v>
      </c>
      <c r="F168" s="17">
        <f>IF($B168="",0,--(OR(任务!I149&lt;0,任务!I149&gt;100)))</f>
        <v>0</v>
      </c>
      <c r="G168" s="17">
        <f>IF($B168="",0,IF(ISNUMBER(SEARCH(",",任务!J149)),0,IF(任务!J149="",0,--(COUNTIF(任务!$A$2:$A$301,TRIM(任务!J149))=0))))</f>
        <v>0</v>
      </c>
      <c r="H168" s="17">
        <f>IF($B168="",0,--(NOT(ISNUMBER(任务!I149))))</f>
        <v>0</v>
      </c>
      <c r="I168" s="17">
        <f t="shared" si="5"/>
        <v>0</v>
      </c>
    </row>
    <row r="169" spans="1:9">
      <c r="A169" s="15">
        <f t="shared" si="4"/>
        <v>150</v>
      </c>
      <c r="B169" s="16" t="str">
        <f>IF(任务!A150="","",任务!A150)</f>
        <v/>
      </c>
      <c r="C169" s="17">
        <f>IF($B169="",0,--(COUNTIF(任务!$A$2:$A$301,$B169)&gt;1))</f>
        <v>0</v>
      </c>
      <c r="D169" s="17">
        <f>IF($B169="",0,--(OR(任务!B150="",任务!C150="",任务!E150="",任务!G150="",任务!H150="",NOT(ISNUMBER(任务!I150)))))</f>
        <v>0</v>
      </c>
      <c r="E169" s="17">
        <f>IF($B169="",0,--(AND(任务!G150&lt;&gt;"",任务!H150&lt;&gt;"",任务!G150&gt;任务!H150)))</f>
        <v>0</v>
      </c>
      <c r="F169" s="17">
        <f>IF($B169="",0,--(OR(任务!I150&lt;0,任务!I150&gt;100)))</f>
        <v>0</v>
      </c>
      <c r="G169" s="17">
        <f>IF($B169="",0,IF(ISNUMBER(SEARCH(",",任务!J150)),0,IF(任务!J150="",0,--(COUNTIF(任务!$A$2:$A$301,TRIM(任务!J150))=0))))</f>
        <v>0</v>
      </c>
      <c r="H169" s="17">
        <f>IF($B169="",0,--(NOT(ISNUMBER(任务!I150))))</f>
        <v>0</v>
      </c>
      <c r="I169" s="17">
        <f t="shared" si="5"/>
        <v>0</v>
      </c>
    </row>
    <row r="170" spans="1:9">
      <c r="A170" s="15">
        <f t="shared" si="4"/>
        <v>151</v>
      </c>
      <c r="B170" s="16" t="str">
        <f>IF(任务!A151="","",任务!A151)</f>
        <v/>
      </c>
      <c r="C170" s="17">
        <f>IF($B170="",0,--(COUNTIF(任务!$A$2:$A$301,$B170)&gt;1))</f>
        <v>0</v>
      </c>
      <c r="D170" s="17">
        <f>IF($B170="",0,--(OR(任务!B151="",任务!C151="",任务!E151="",任务!G151="",任务!H151="",NOT(ISNUMBER(任务!I151)))))</f>
        <v>0</v>
      </c>
      <c r="E170" s="17">
        <f>IF($B170="",0,--(AND(任务!G151&lt;&gt;"",任务!H151&lt;&gt;"",任务!G151&gt;任务!H151)))</f>
        <v>0</v>
      </c>
      <c r="F170" s="17">
        <f>IF($B170="",0,--(OR(任务!I151&lt;0,任务!I151&gt;100)))</f>
        <v>0</v>
      </c>
      <c r="G170" s="17">
        <f>IF($B170="",0,IF(ISNUMBER(SEARCH(",",任务!J151)),0,IF(任务!J151="",0,--(COUNTIF(任务!$A$2:$A$301,TRIM(任务!J151))=0))))</f>
        <v>0</v>
      </c>
      <c r="H170" s="17">
        <f>IF($B170="",0,--(NOT(ISNUMBER(任务!I151))))</f>
        <v>0</v>
      </c>
      <c r="I170" s="17">
        <f t="shared" si="5"/>
        <v>0</v>
      </c>
    </row>
    <row r="171" spans="1:9">
      <c r="A171" s="15">
        <f t="shared" si="4"/>
        <v>152</v>
      </c>
      <c r="B171" s="16" t="str">
        <f>IF(任务!A152="","",任务!A152)</f>
        <v/>
      </c>
      <c r="C171" s="17">
        <f>IF($B171="",0,--(COUNTIF(任务!$A$2:$A$301,$B171)&gt;1))</f>
        <v>0</v>
      </c>
      <c r="D171" s="17">
        <f>IF($B171="",0,--(OR(任务!B152="",任务!C152="",任务!E152="",任务!G152="",任务!H152="",NOT(ISNUMBER(任务!I152)))))</f>
        <v>0</v>
      </c>
      <c r="E171" s="17">
        <f>IF($B171="",0,--(AND(任务!G152&lt;&gt;"",任务!H152&lt;&gt;"",任务!G152&gt;任务!H152)))</f>
        <v>0</v>
      </c>
      <c r="F171" s="17">
        <f>IF($B171="",0,--(OR(任务!I152&lt;0,任务!I152&gt;100)))</f>
        <v>0</v>
      </c>
      <c r="G171" s="17">
        <f>IF($B171="",0,IF(ISNUMBER(SEARCH(",",任务!J152)),0,IF(任务!J152="",0,--(COUNTIF(任务!$A$2:$A$301,TRIM(任务!J152))=0))))</f>
        <v>0</v>
      </c>
      <c r="H171" s="17">
        <f>IF($B171="",0,--(NOT(ISNUMBER(任务!I152))))</f>
        <v>0</v>
      </c>
      <c r="I171" s="17">
        <f t="shared" si="5"/>
        <v>0</v>
      </c>
    </row>
    <row r="172" spans="1:9">
      <c r="A172" s="15">
        <f t="shared" si="4"/>
        <v>153</v>
      </c>
      <c r="B172" s="16" t="str">
        <f>IF(任务!A153="","",任务!A153)</f>
        <v/>
      </c>
      <c r="C172" s="17">
        <f>IF($B172="",0,--(COUNTIF(任务!$A$2:$A$301,$B172)&gt;1))</f>
        <v>0</v>
      </c>
      <c r="D172" s="17">
        <f>IF($B172="",0,--(OR(任务!B153="",任务!C153="",任务!E153="",任务!G153="",任务!H153="",NOT(ISNUMBER(任务!I153)))))</f>
        <v>0</v>
      </c>
      <c r="E172" s="17">
        <f>IF($B172="",0,--(AND(任务!G153&lt;&gt;"",任务!H153&lt;&gt;"",任务!G153&gt;任务!H153)))</f>
        <v>0</v>
      </c>
      <c r="F172" s="17">
        <f>IF($B172="",0,--(OR(任务!I153&lt;0,任务!I153&gt;100)))</f>
        <v>0</v>
      </c>
      <c r="G172" s="17">
        <f>IF($B172="",0,IF(ISNUMBER(SEARCH(",",任务!J153)),0,IF(任务!J153="",0,--(COUNTIF(任务!$A$2:$A$301,TRIM(任务!J153))=0))))</f>
        <v>0</v>
      </c>
      <c r="H172" s="17">
        <f>IF($B172="",0,--(NOT(ISNUMBER(任务!I153))))</f>
        <v>0</v>
      </c>
      <c r="I172" s="17">
        <f t="shared" si="5"/>
        <v>0</v>
      </c>
    </row>
    <row r="173" spans="1:9">
      <c r="A173" s="15">
        <f t="shared" si="4"/>
        <v>154</v>
      </c>
      <c r="B173" s="16" t="str">
        <f>IF(任务!A154="","",任务!A154)</f>
        <v/>
      </c>
      <c r="C173" s="17">
        <f>IF($B173="",0,--(COUNTIF(任务!$A$2:$A$301,$B173)&gt;1))</f>
        <v>0</v>
      </c>
      <c r="D173" s="17">
        <f>IF($B173="",0,--(OR(任务!B154="",任务!C154="",任务!E154="",任务!G154="",任务!H154="",NOT(ISNUMBER(任务!I154)))))</f>
        <v>0</v>
      </c>
      <c r="E173" s="17">
        <f>IF($B173="",0,--(AND(任务!G154&lt;&gt;"",任务!H154&lt;&gt;"",任务!G154&gt;任务!H154)))</f>
        <v>0</v>
      </c>
      <c r="F173" s="17">
        <f>IF($B173="",0,--(OR(任务!I154&lt;0,任务!I154&gt;100)))</f>
        <v>0</v>
      </c>
      <c r="G173" s="17">
        <f>IF($B173="",0,IF(ISNUMBER(SEARCH(",",任务!J154)),0,IF(任务!J154="",0,--(COUNTIF(任务!$A$2:$A$301,TRIM(任务!J154))=0))))</f>
        <v>0</v>
      </c>
      <c r="H173" s="17">
        <f>IF($B173="",0,--(NOT(ISNUMBER(任务!I154))))</f>
        <v>0</v>
      </c>
      <c r="I173" s="17">
        <f t="shared" si="5"/>
        <v>0</v>
      </c>
    </row>
    <row r="174" spans="1:9">
      <c r="A174" s="15">
        <f t="shared" si="4"/>
        <v>155</v>
      </c>
      <c r="B174" s="16" t="str">
        <f>IF(任务!A155="","",任务!A155)</f>
        <v/>
      </c>
      <c r="C174" s="17">
        <f>IF($B174="",0,--(COUNTIF(任务!$A$2:$A$301,$B174)&gt;1))</f>
        <v>0</v>
      </c>
      <c r="D174" s="17">
        <f>IF($B174="",0,--(OR(任务!B155="",任务!C155="",任务!E155="",任务!G155="",任务!H155="",NOT(ISNUMBER(任务!I155)))))</f>
        <v>0</v>
      </c>
      <c r="E174" s="17">
        <f>IF($B174="",0,--(AND(任务!G155&lt;&gt;"",任务!H155&lt;&gt;"",任务!G155&gt;任务!H155)))</f>
        <v>0</v>
      </c>
      <c r="F174" s="17">
        <f>IF($B174="",0,--(OR(任务!I155&lt;0,任务!I155&gt;100)))</f>
        <v>0</v>
      </c>
      <c r="G174" s="17">
        <f>IF($B174="",0,IF(ISNUMBER(SEARCH(",",任务!J155)),0,IF(任务!J155="",0,--(COUNTIF(任务!$A$2:$A$301,TRIM(任务!J155))=0))))</f>
        <v>0</v>
      </c>
      <c r="H174" s="17">
        <f>IF($B174="",0,--(NOT(ISNUMBER(任务!I155))))</f>
        <v>0</v>
      </c>
      <c r="I174" s="17">
        <f t="shared" si="5"/>
        <v>0</v>
      </c>
    </row>
    <row r="175" spans="1:9">
      <c r="A175" s="15">
        <f t="shared" si="4"/>
        <v>156</v>
      </c>
      <c r="B175" s="16" t="str">
        <f>IF(任务!A156="","",任务!A156)</f>
        <v/>
      </c>
      <c r="C175" s="17">
        <f>IF($B175="",0,--(COUNTIF(任务!$A$2:$A$301,$B175)&gt;1))</f>
        <v>0</v>
      </c>
      <c r="D175" s="17">
        <f>IF($B175="",0,--(OR(任务!B156="",任务!C156="",任务!E156="",任务!G156="",任务!H156="",NOT(ISNUMBER(任务!I156)))))</f>
        <v>0</v>
      </c>
      <c r="E175" s="17">
        <f>IF($B175="",0,--(AND(任务!G156&lt;&gt;"",任务!H156&lt;&gt;"",任务!G156&gt;任务!H156)))</f>
        <v>0</v>
      </c>
      <c r="F175" s="17">
        <f>IF($B175="",0,--(OR(任务!I156&lt;0,任务!I156&gt;100)))</f>
        <v>0</v>
      </c>
      <c r="G175" s="17">
        <f>IF($B175="",0,IF(ISNUMBER(SEARCH(",",任务!J156)),0,IF(任务!J156="",0,--(COUNTIF(任务!$A$2:$A$301,TRIM(任务!J156))=0))))</f>
        <v>0</v>
      </c>
      <c r="H175" s="17">
        <f>IF($B175="",0,--(NOT(ISNUMBER(任务!I156))))</f>
        <v>0</v>
      </c>
      <c r="I175" s="17">
        <f t="shared" si="5"/>
        <v>0</v>
      </c>
    </row>
    <row r="176" spans="1:9">
      <c r="A176" s="15">
        <f t="shared" si="4"/>
        <v>157</v>
      </c>
      <c r="B176" s="16" t="str">
        <f>IF(任务!A157="","",任务!A157)</f>
        <v/>
      </c>
      <c r="C176" s="17">
        <f>IF($B176="",0,--(COUNTIF(任务!$A$2:$A$301,$B176)&gt;1))</f>
        <v>0</v>
      </c>
      <c r="D176" s="17">
        <f>IF($B176="",0,--(OR(任务!B157="",任务!C157="",任务!E157="",任务!G157="",任务!H157="",NOT(ISNUMBER(任务!I157)))))</f>
        <v>0</v>
      </c>
      <c r="E176" s="17">
        <f>IF($B176="",0,--(AND(任务!G157&lt;&gt;"",任务!H157&lt;&gt;"",任务!G157&gt;任务!H157)))</f>
        <v>0</v>
      </c>
      <c r="F176" s="17">
        <f>IF($B176="",0,--(OR(任务!I157&lt;0,任务!I157&gt;100)))</f>
        <v>0</v>
      </c>
      <c r="G176" s="17">
        <f>IF($B176="",0,IF(ISNUMBER(SEARCH(",",任务!J157)),0,IF(任务!J157="",0,--(COUNTIF(任务!$A$2:$A$301,TRIM(任务!J157))=0))))</f>
        <v>0</v>
      </c>
      <c r="H176" s="17">
        <f>IF($B176="",0,--(NOT(ISNUMBER(任务!I157))))</f>
        <v>0</v>
      </c>
      <c r="I176" s="17">
        <f t="shared" si="5"/>
        <v>0</v>
      </c>
    </row>
    <row r="177" spans="1:9">
      <c r="A177" s="15">
        <f t="shared" si="4"/>
        <v>158</v>
      </c>
      <c r="B177" s="16" t="str">
        <f>IF(任务!A158="","",任务!A158)</f>
        <v/>
      </c>
      <c r="C177" s="17">
        <f>IF($B177="",0,--(COUNTIF(任务!$A$2:$A$301,$B177)&gt;1))</f>
        <v>0</v>
      </c>
      <c r="D177" s="17">
        <f>IF($B177="",0,--(OR(任务!B158="",任务!C158="",任务!E158="",任务!G158="",任务!H158="",NOT(ISNUMBER(任务!I158)))))</f>
        <v>0</v>
      </c>
      <c r="E177" s="17">
        <f>IF($B177="",0,--(AND(任务!G158&lt;&gt;"",任务!H158&lt;&gt;"",任务!G158&gt;任务!H158)))</f>
        <v>0</v>
      </c>
      <c r="F177" s="17">
        <f>IF($B177="",0,--(OR(任务!I158&lt;0,任务!I158&gt;100)))</f>
        <v>0</v>
      </c>
      <c r="G177" s="17">
        <f>IF($B177="",0,IF(ISNUMBER(SEARCH(",",任务!J158)),0,IF(任务!J158="",0,--(COUNTIF(任务!$A$2:$A$301,TRIM(任务!J158))=0))))</f>
        <v>0</v>
      </c>
      <c r="H177" s="17">
        <f>IF($B177="",0,--(NOT(ISNUMBER(任务!I158))))</f>
        <v>0</v>
      </c>
      <c r="I177" s="17">
        <f t="shared" si="5"/>
        <v>0</v>
      </c>
    </row>
    <row r="178" spans="1:9">
      <c r="A178" s="15">
        <f t="shared" si="4"/>
        <v>159</v>
      </c>
      <c r="B178" s="16" t="str">
        <f>IF(任务!A159="","",任务!A159)</f>
        <v/>
      </c>
      <c r="C178" s="17">
        <f>IF($B178="",0,--(COUNTIF(任务!$A$2:$A$301,$B178)&gt;1))</f>
        <v>0</v>
      </c>
      <c r="D178" s="17">
        <f>IF($B178="",0,--(OR(任务!B159="",任务!C159="",任务!E159="",任务!G159="",任务!H159="",NOT(ISNUMBER(任务!I159)))))</f>
        <v>0</v>
      </c>
      <c r="E178" s="17">
        <f>IF($B178="",0,--(AND(任务!G159&lt;&gt;"",任务!H159&lt;&gt;"",任务!G159&gt;任务!H159)))</f>
        <v>0</v>
      </c>
      <c r="F178" s="17">
        <f>IF($B178="",0,--(OR(任务!I159&lt;0,任务!I159&gt;100)))</f>
        <v>0</v>
      </c>
      <c r="G178" s="17">
        <f>IF($B178="",0,IF(ISNUMBER(SEARCH(",",任务!J159)),0,IF(任务!J159="",0,--(COUNTIF(任务!$A$2:$A$301,TRIM(任务!J159))=0))))</f>
        <v>0</v>
      </c>
      <c r="H178" s="17">
        <f>IF($B178="",0,--(NOT(ISNUMBER(任务!I159))))</f>
        <v>0</v>
      </c>
      <c r="I178" s="17">
        <f t="shared" si="5"/>
        <v>0</v>
      </c>
    </row>
    <row r="179" spans="1:9">
      <c r="A179" s="15">
        <f t="shared" si="4"/>
        <v>160</v>
      </c>
      <c r="B179" s="16" t="str">
        <f>IF(任务!A160="","",任务!A160)</f>
        <v/>
      </c>
      <c r="C179" s="17">
        <f>IF($B179="",0,--(COUNTIF(任务!$A$2:$A$301,$B179)&gt;1))</f>
        <v>0</v>
      </c>
      <c r="D179" s="17">
        <f>IF($B179="",0,--(OR(任务!B160="",任务!C160="",任务!E160="",任务!G160="",任务!H160="",NOT(ISNUMBER(任务!I160)))))</f>
        <v>0</v>
      </c>
      <c r="E179" s="17">
        <f>IF($B179="",0,--(AND(任务!G160&lt;&gt;"",任务!H160&lt;&gt;"",任务!G160&gt;任务!H160)))</f>
        <v>0</v>
      </c>
      <c r="F179" s="17">
        <f>IF($B179="",0,--(OR(任务!I160&lt;0,任务!I160&gt;100)))</f>
        <v>0</v>
      </c>
      <c r="G179" s="17">
        <f>IF($B179="",0,IF(ISNUMBER(SEARCH(",",任务!J160)),0,IF(任务!J160="",0,--(COUNTIF(任务!$A$2:$A$301,TRIM(任务!J160))=0))))</f>
        <v>0</v>
      </c>
      <c r="H179" s="17">
        <f>IF($B179="",0,--(NOT(ISNUMBER(任务!I160))))</f>
        <v>0</v>
      </c>
      <c r="I179" s="17">
        <f t="shared" si="5"/>
        <v>0</v>
      </c>
    </row>
    <row r="180" spans="1:9">
      <c r="A180" s="15">
        <f t="shared" si="4"/>
        <v>161</v>
      </c>
      <c r="B180" s="16" t="str">
        <f>IF(任务!A161="","",任务!A161)</f>
        <v/>
      </c>
      <c r="C180" s="17">
        <f>IF($B180="",0,--(COUNTIF(任务!$A$2:$A$301,$B180)&gt;1))</f>
        <v>0</v>
      </c>
      <c r="D180" s="17">
        <f>IF($B180="",0,--(OR(任务!B161="",任务!C161="",任务!E161="",任务!G161="",任务!H161="",NOT(ISNUMBER(任务!I161)))))</f>
        <v>0</v>
      </c>
      <c r="E180" s="17">
        <f>IF($B180="",0,--(AND(任务!G161&lt;&gt;"",任务!H161&lt;&gt;"",任务!G161&gt;任务!H161)))</f>
        <v>0</v>
      </c>
      <c r="F180" s="17">
        <f>IF($B180="",0,--(OR(任务!I161&lt;0,任务!I161&gt;100)))</f>
        <v>0</v>
      </c>
      <c r="G180" s="17">
        <f>IF($B180="",0,IF(ISNUMBER(SEARCH(",",任务!J161)),0,IF(任务!J161="",0,--(COUNTIF(任务!$A$2:$A$301,TRIM(任务!J161))=0))))</f>
        <v>0</v>
      </c>
      <c r="H180" s="17">
        <f>IF($B180="",0,--(NOT(ISNUMBER(任务!I161))))</f>
        <v>0</v>
      </c>
      <c r="I180" s="17">
        <f t="shared" si="5"/>
        <v>0</v>
      </c>
    </row>
    <row r="181" spans="1:9">
      <c r="A181" s="15">
        <f t="shared" si="4"/>
        <v>162</v>
      </c>
      <c r="B181" s="16" t="str">
        <f>IF(任务!A162="","",任务!A162)</f>
        <v/>
      </c>
      <c r="C181" s="17">
        <f>IF($B181="",0,--(COUNTIF(任务!$A$2:$A$301,$B181)&gt;1))</f>
        <v>0</v>
      </c>
      <c r="D181" s="17">
        <f>IF($B181="",0,--(OR(任务!B162="",任务!C162="",任务!E162="",任务!G162="",任务!H162="",NOT(ISNUMBER(任务!I162)))))</f>
        <v>0</v>
      </c>
      <c r="E181" s="17">
        <f>IF($B181="",0,--(AND(任务!G162&lt;&gt;"",任务!H162&lt;&gt;"",任务!G162&gt;任务!H162)))</f>
        <v>0</v>
      </c>
      <c r="F181" s="17">
        <f>IF($B181="",0,--(OR(任务!I162&lt;0,任务!I162&gt;100)))</f>
        <v>0</v>
      </c>
      <c r="G181" s="17">
        <f>IF($B181="",0,IF(ISNUMBER(SEARCH(",",任务!J162)),0,IF(任务!J162="",0,--(COUNTIF(任务!$A$2:$A$301,TRIM(任务!J162))=0))))</f>
        <v>0</v>
      </c>
      <c r="H181" s="17">
        <f>IF($B181="",0,--(NOT(ISNUMBER(任务!I162))))</f>
        <v>0</v>
      </c>
      <c r="I181" s="17">
        <f t="shared" si="5"/>
        <v>0</v>
      </c>
    </row>
    <row r="182" spans="1:9">
      <c r="A182" s="15">
        <f t="shared" si="4"/>
        <v>163</v>
      </c>
      <c r="B182" s="16" t="str">
        <f>IF(任务!A163="","",任务!A163)</f>
        <v/>
      </c>
      <c r="C182" s="17">
        <f>IF($B182="",0,--(COUNTIF(任务!$A$2:$A$301,$B182)&gt;1))</f>
        <v>0</v>
      </c>
      <c r="D182" s="17">
        <f>IF($B182="",0,--(OR(任务!B163="",任务!C163="",任务!E163="",任务!G163="",任务!H163="",NOT(ISNUMBER(任务!I163)))))</f>
        <v>0</v>
      </c>
      <c r="E182" s="17">
        <f>IF($B182="",0,--(AND(任务!G163&lt;&gt;"",任务!H163&lt;&gt;"",任务!G163&gt;任务!H163)))</f>
        <v>0</v>
      </c>
      <c r="F182" s="17">
        <f>IF($B182="",0,--(OR(任务!I163&lt;0,任务!I163&gt;100)))</f>
        <v>0</v>
      </c>
      <c r="G182" s="17">
        <f>IF($B182="",0,IF(ISNUMBER(SEARCH(",",任务!J163)),0,IF(任务!J163="",0,--(COUNTIF(任务!$A$2:$A$301,TRIM(任务!J163))=0))))</f>
        <v>0</v>
      </c>
      <c r="H182" s="17">
        <f>IF($B182="",0,--(NOT(ISNUMBER(任务!I163))))</f>
        <v>0</v>
      </c>
      <c r="I182" s="17">
        <f t="shared" si="5"/>
        <v>0</v>
      </c>
    </row>
    <row r="183" spans="1:9">
      <c r="A183" s="15">
        <f t="shared" si="4"/>
        <v>164</v>
      </c>
      <c r="B183" s="16" t="str">
        <f>IF(任务!A164="","",任务!A164)</f>
        <v/>
      </c>
      <c r="C183" s="17">
        <f>IF($B183="",0,--(COUNTIF(任务!$A$2:$A$301,$B183)&gt;1))</f>
        <v>0</v>
      </c>
      <c r="D183" s="17">
        <f>IF($B183="",0,--(OR(任务!B164="",任务!C164="",任务!E164="",任务!G164="",任务!H164="",NOT(ISNUMBER(任务!I164)))))</f>
        <v>0</v>
      </c>
      <c r="E183" s="17">
        <f>IF($B183="",0,--(AND(任务!G164&lt;&gt;"",任务!H164&lt;&gt;"",任务!G164&gt;任务!H164)))</f>
        <v>0</v>
      </c>
      <c r="F183" s="17">
        <f>IF($B183="",0,--(OR(任务!I164&lt;0,任务!I164&gt;100)))</f>
        <v>0</v>
      </c>
      <c r="G183" s="17">
        <f>IF($B183="",0,IF(ISNUMBER(SEARCH(",",任务!J164)),0,IF(任务!J164="",0,--(COUNTIF(任务!$A$2:$A$301,TRIM(任务!J164))=0))))</f>
        <v>0</v>
      </c>
      <c r="H183" s="17">
        <f>IF($B183="",0,--(NOT(ISNUMBER(任务!I164))))</f>
        <v>0</v>
      </c>
      <c r="I183" s="17">
        <f t="shared" si="5"/>
        <v>0</v>
      </c>
    </row>
    <row r="184" spans="1:9">
      <c r="A184" s="15">
        <f t="shared" si="4"/>
        <v>165</v>
      </c>
      <c r="B184" s="16" t="str">
        <f>IF(任务!A165="","",任务!A165)</f>
        <v/>
      </c>
      <c r="C184" s="17">
        <f>IF($B184="",0,--(COUNTIF(任务!$A$2:$A$301,$B184)&gt;1))</f>
        <v>0</v>
      </c>
      <c r="D184" s="17">
        <f>IF($B184="",0,--(OR(任务!B165="",任务!C165="",任务!E165="",任务!G165="",任务!H165="",NOT(ISNUMBER(任务!I165)))))</f>
        <v>0</v>
      </c>
      <c r="E184" s="17">
        <f>IF($B184="",0,--(AND(任务!G165&lt;&gt;"",任务!H165&lt;&gt;"",任务!G165&gt;任务!H165)))</f>
        <v>0</v>
      </c>
      <c r="F184" s="17">
        <f>IF($B184="",0,--(OR(任务!I165&lt;0,任务!I165&gt;100)))</f>
        <v>0</v>
      </c>
      <c r="G184" s="17">
        <f>IF($B184="",0,IF(ISNUMBER(SEARCH(",",任务!J165)),0,IF(任务!J165="",0,--(COUNTIF(任务!$A$2:$A$301,TRIM(任务!J165))=0))))</f>
        <v>0</v>
      </c>
      <c r="H184" s="17">
        <f>IF($B184="",0,--(NOT(ISNUMBER(任务!I165))))</f>
        <v>0</v>
      </c>
      <c r="I184" s="17">
        <f t="shared" si="5"/>
        <v>0</v>
      </c>
    </row>
    <row r="185" spans="1:9">
      <c r="A185" s="15">
        <f t="shared" si="4"/>
        <v>166</v>
      </c>
      <c r="B185" s="16" t="str">
        <f>IF(任务!A166="","",任务!A166)</f>
        <v/>
      </c>
      <c r="C185" s="17">
        <f>IF($B185="",0,--(COUNTIF(任务!$A$2:$A$301,$B185)&gt;1))</f>
        <v>0</v>
      </c>
      <c r="D185" s="17">
        <f>IF($B185="",0,--(OR(任务!B166="",任务!C166="",任务!E166="",任务!G166="",任务!H166="",NOT(ISNUMBER(任务!I166)))))</f>
        <v>0</v>
      </c>
      <c r="E185" s="17">
        <f>IF($B185="",0,--(AND(任务!G166&lt;&gt;"",任务!H166&lt;&gt;"",任务!G166&gt;任务!H166)))</f>
        <v>0</v>
      </c>
      <c r="F185" s="17">
        <f>IF($B185="",0,--(OR(任务!I166&lt;0,任务!I166&gt;100)))</f>
        <v>0</v>
      </c>
      <c r="G185" s="17">
        <f>IF($B185="",0,IF(ISNUMBER(SEARCH(",",任务!J166)),0,IF(任务!J166="",0,--(COUNTIF(任务!$A$2:$A$301,TRIM(任务!J166))=0))))</f>
        <v>0</v>
      </c>
      <c r="H185" s="17">
        <f>IF($B185="",0,--(NOT(ISNUMBER(任务!I166))))</f>
        <v>0</v>
      </c>
      <c r="I185" s="17">
        <f t="shared" si="5"/>
        <v>0</v>
      </c>
    </row>
    <row r="186" spans="1:9">
      <c r="A186" s="15">
        <f t="shared" si="4"/>
        <v>167</v>
      </c>
      <c r="B186" s="16" t="str">
        <f>IF(任务!A167="","",任务!A167)</f>
        <v/>
      </c>
      <c r="C186" s="17">
        <f>IF($B186="",0,--(COUNTIF(任务!$A$2:$A$301,$B186)&gt;1))</f>
        <v>0</v>
      </c>
      <c r="D186" s="17">
        <f>IF($B186="",0,--(OR(任务!B167="",任务!C167="",任务!E167="",任务!G167="",任务!H167="",NOT(ISNUMBER(任务!I167)))))</f>
        <v>0</v>
      </c>
      <c r="E186" s="17">
        <f>IF($B186="",0,--(AND(任务!G167&lt;&gt;"",任务!H167&lt;&gt;"",任务!G167&gt;任务!H167)))</f>
        <v>0</v>
      </c>
      <c r="F186" s="17">
        <f>IF($B186="",0,--(OR(任务!I167&lt;0,任务!I167&gt;100)))</f>
        <v>0</v>
      </c>
      <c r="G186" s="17">
        <f>IF($B186="",0,IF(ISNUMBER(SEARCH(",",任务!J167)),0,IF(任务!J167="",0,--(COUNTIF(任务!$A$2:$A$301,TRIM(任务!J167))=0))))</f>
        <v>0</v>
      </c>
      <c r="H186" s="17">
        <f>IF($B186="",0,--(NOT(ISNUMBER(任务!I167))))</f>
        <v>0</v>
      </c>
      <c r="I186" s="17">
        <f t="shared" si="5"/>
        <v>0</v>
      </c>
    </row>
    <row r="187" spans="1:9">
      <c r="A187" s="15">
        <f t="shared" si="4"/>
        <v>168</v>
      </c>
      <c r="B187" s="16" t="str">
        <f>IF(任务!A168="","",任务!A168)</f>
        <v/>
      </c>
      <c r="C187" s="17">
        <f>IF($B187="",0,--(COUNTIF(任务!$A$2:$A$301,$B187)&gt;1))</f>
        <v>0</v>
      </c>
      <c r="D187" s="17">
        <f>IF($B187="",0,--(OR(任务!B168="",任务!C168="",任务!E168="",任务!G168="",任务!H168="",NOT(ISNUMBER(任务!I168)))))</f>
        <v>0</v>
      </c>
      <c r="E187" s="17">
        <f>IF($B187="",0,--(AND(任务!G168&lt;&gt;"",任务!H168&lt;&gt;"",任务!G168&gt;任务!H168)))</f>
        <v>0</v>
      </c>
      <c r="F187" s="17">
        <f>IF($B187="",0,--(OR(任务!I168&lt;0,任务!I168&gt;100)))</f>
        <v>0</v>
      </c>
      <c r="G187" s="17">
        <f>IF($B187="",0,IF(ISNUMBER(SEARCH(",",任务!J168)),0,IF(任务!J168="",0,--(COUNTIF(任务!$A$2:$A$301,TRIM(任务!J168))=0))))</f>
        <v>0</v>
      </c>
      <c r="H187" s="17">
        <f>IF($B187="",0,--(NOT(ISNUMBER(任务!I168))))</f>
        <v>0</v>
      </c>
      <c r="I187" s="17">
        <f t="shared" si="5"/>
        <v>0</v>
      </c>
    </row>
    <row r="188" spans="1:9">
      <c r="A188" s="15">
        <f t="shared" si="4"/>
        <v>169</v>
      </c>
      <c r="B188" s="16" t="str">
        <f>IF(任务!A169="","",任务!A169)</f>
        <v/>
      </c>
      <c r="C188" s="17">
        <f>IF($B188="",0,--(COUNTIF(任务!$A$2:$A$301,$B188)&gt;1))</f>
        <v>0</v>
      </c>
      <c r="D188" s="17">
        <f>IF($B188="",0,--(OR(任务!B169="",任务!C169="",任务!E169="",任务!G169="",任务!H169="",NOT(ISNUMBER(任务!I169)))))</f>
        <v>0</v>
      </c>
      <c r="E188" s="17">
        <f>IF($B188="",0,--(AND(任务!G169&lt;&gt;"",任务!H169&lt;&gt;"",任务!G169&gt;任务!H169)))</f>
        <v>0</v>
      </c>
      <c r="F188" s="17">
        <f>IF($B188="",0,--(OR(任务!I169&lt;0,任务!I169&gt;100)))</f>
        <v>0</v>
      </c>
      <c r="G188" s="17">
        <f>IF($B188="",0,IF(ISNUMBER(SEARCH(",",任务!J169)),0,IF(任务!J169="",0,--(COUNTIF(任务!$A$2:$A$301,TRIM(任务!J169))=0))))</f>
        <v>0</v>
      </c>
      <c r="H188" s="17">
        <f>IF($B188="",0,--(NOT(ISNUMBER(任务!I169))))</f>
        <v>0</v>
      </c>
      <c r="I188" s="17">
        <f t="shared" si="5"/>
        <v>0</v>
      </c>
    </row>
    <row r="189" spans="1:9">
      <c r="A189" s="15">
        <f t="shared" si="4"/>
        <v>170</v>
      </c>
      <c r="B189" s="16" t="str">
        <f>IF(任务!A170="","",任务!A170)</f>
        <v/>
      </c>
      <c r="C189" s="17">
        <f>IF($B189="",0,--(COUNTIF(任务!$A$2:$A$301,$B189)&gt;1))</f>
        <v>0</v>
      </c>
      <c r="D189" s="17">
        <f>IF($B189="",0,--(OR(任务!B170="",任务!C170="",任务!E170="",任务!G170="",任务!H170="",NOT(ISNUMBER(任务!I170)))))</f>
        <v>0</v>
      </c>
      <c r="E189" s="17">
        <f>IF($B189="",0,--(AND(任务!G170&lt;&gt;"",任务!H170&lt;&gt;"",任务!G170&gt;任务!H170)))</f>
        <v>0</v>
      </c>
      <c r="F189" s="17">
        <f>IF($B189="",0,--(OR(任务!I170&lt;0,任务!I170&gt;100)))</f>
        <v>0</v>
      </c>
      <c r="G189" s="17">
        <f>IF($B189="",0,IF(ISNUMBER(SEARCH(",",任务!J170)),0,IF(任务!J170="",0,--(COUNTIF(任务!$A$2:$A$301,TRIM(任务!J170))=0))))</f>
        <v>0</v>
      </c>
      <c r="H189" s="17">
        <f>IF($B189="",0,--(NOT(ISNUMBER(任务!I170))))</f>
        <v>0</v>
      </c>
      <c r="I189" s="17">
        <f t="shared" si="5"/>
        <v>0</v>
      </c>
    </row>
    <row r="190" spans="1:9">
      <c r="A190" s="15">
        <f t="shared" si="4"/>
        <v>171</v>
      </c>
      <c r="B190" s="16" t="str">
        <f>IF(任务!A171="","",任务!A171)</f>
        <v/>
      </c>
      <c r="C190" s="17">
        <f>IF($B190="",0,--(COUNTIF(任务!$A$2:$A$301,$B190)&gt;1))</f>
        <v>0</v>
      </c>
      <c r="D190" s="17">
        <f>IF($B190="",0,--(OR(任务!B171="",任务!C171="",任务!E171="",任务!G171="",任务!H171="",NOT(ISNUMBER(任务!I171)))))</f>
        <v>0</v>
      </c>
      <c r="E190" s="17">
        <f>IF($B190="",0,--(AND(任务!G171&lt;&gt;"",任务!H171&lt;&gt;"",任务!G171&gt;任务!H171)))</f>
        <v>0</v>
      </c>
      <c r="F190" s="17">
        <f>IF($B190="",0,--(OR(任务!I171&lt;0,任务!I171&gt;100)))</f>
        <v>0</v>
      </c>
      <c r="G190" s="17">
        <f>IF($B190="",0,IF(ISNUMBER(SEARCH(",",任务!J171)),0,IF(任务!J171="",0,--(COUNTIF(任务!$A$2:$A$301,TRIM(任务!J171))=0))))</f>
        <v>0</v>
      </c>
      <c r="H190" s="17">
        <f>IF($B190="",0,--(NOT(ISNUMBER(任务!I171))))</f>
        <v>0</v>
      </c>
      <c r="I190" s="17">
        <f t="shared" si="5"/>
        <v>0</v>
      </c>
    </row>
    <row r="191" spans="1:9">
      <c r="A191" s="15">
        <f t="shared" si="4"/>
        <v>172</v>
      </c>
      <c r="B191" s="16" t="str">
        <f>IF(任务!A172="","",任务!A172)</f>
        <v/>
      </c>
      <c r="C191" s="17">
        <f>IF($B191="",0,--(COUNTIF(任务!$A$2:$A$301,$B191)&gt;1))</f>
        <v>0</v>
      </c>
      <c r="D191" s="17">
        <f>IF($B191="",0,--(OR(任务!B172="",任务!C172="",任务!E172="",任务!G172="",任务!H172="",NOT(ISNUMBER(任务!I172)))))</f>
        <v>0</v>
      </c>
      <c r="E191" s="17">
        <f>IF($B191="",0,--(AND(任务!G172&lt;&gt;"",任务!H172&lt;&gt;"",任务!G172&gt;任务!H172)))</f>
        <v>0</v>
      </c>
      <c r="F191" s="17">
        <f>IF($B191="",0,--(OR(任务!I172&lt;0,任务!I172&gt;100)))</f>
        <v>0</v>
      </c>
      <c r="G191" s="17">
        <f>IF($B191="",0,IF(ISNUMBER(SEARCH(",",任务!J172)),0,IF(任务!J172="",0,--(COUNTIF(任务!$A$2:$A$301,TRIM(任务!J172))=0))))</f>
        <v>0</v>
      </c>
      <c r="H191" s="17">
        <f>IF($B191="",0,--(NOT(ISNUMBER(任务!I172))))</f>
        <v>0</v>
      </c>
      <c r="I191" s="17">
        <f t="shared" si="5"/>
        <v>0</v>
      </c>
    </row>
    <row r="192" spans="1:9">
      <c r="A192" s="15">
        <f t="shared" si="4"/>
        <v>173</v>
      </c>
      <c r="B192" s="16" t="str">
        <f>IF(任务!A173="","",任务!A173)</f>
        <v/>
      </c>
      <c r="C192" s="17">
        <f>IF($B192="",0,--(COUNTIF(任务!$A$2:$A$301,$B192)&gt;1))</f>
        <v>0</v>
      </c>
      <c r="D192" s="17">
        <f>IF($B192="",0,--(OR(任务!B173="",任务!C173="",任务!E173="",任务!G173="",任务!H173="",NOT(ISNUMBER(任务!I173)))))</f>
        <v>0</v>
      </c>
      <c r="E192" s="17">
        <f>IF($B192="",0,--(AND(任务!G173&lt;&gt;"",任务!H173&lt;&gt;"",任务!G173&gt;任务!H173)))</f>
        <v>0</v>
      </c>
      <c r="F192" s="17">
        <f>IF($B192="",0,--(OR(任务!I173&lt;0,任务!I173&gt;100)))</f>
        <v>0</v>
      </c>
      <c r="G192" s="17">
        <f>IF($B192="",0,IF(ISNUMBER(SEARCH(",",任务!J173)),0,IF(任务!J173="",0,--(COUNTIF(任务!$A$2:$A$301,TRIM(任务!J173))=0))))</f>
        <v>0</v>
      </c>
      <c r="H192" s="17">
        <f>IF($B192="",0,--(NOT(ISNUMBER(任务!I173))))</f>
        <v>0</v>
      </c>
      <c r="I192" s="17">
        <f t="shared" si="5"/>
        <v>0</v>
      </c>
    </row>
    <row r="193" spans="1:9">
      <c r="A193" s="15">
        <f t="shared" si="4"/>
        <v>174</v>
      </c>
      <c r="B193" s="16" t="str">
        <f>IF(任务!A174="","",任务!A174)</f>
        <v/>
      </c>
      <c r="C193" s="17">
        <f>IF($B193="",0,--(COUNTIF(任务!$A$2:$A$301,$B193)&gt;1))</f>
        <v>0</v>
      </c>
      <c r="D193" s="17">
        <f>IF($B193="",0,--(OR(任务!B174="",任务!C174="",任务!E174="",任务!G174="",任务!H174="",NOT(ISNUMBER(任务!I174)))))</f>
        <v>0</v>
      </c>
      <c r="E193" s="17">
        <f>IF($B193="",0,--(AND(任务!G174&lt;&gt;"",任务!H174&lt;&gt;"",任务!G174&gt;任务!H174)))</f>
        <v>0</v>
      </c>
      <c r="F193" s="17">
        <f>IF($B193="",0,--(OR(任务!I174&lt;0,任务!I174&gt;100)))</f>
        <v>0</v>
      </c>
      <c r="G193" s="17">
        <f>IF($B193="",0,IF(ISNUMBER(SEARCH(",",任务!J174)),0,IF(任务!J174="",0,--(COUNTIF(任务!$A$2:$A$301,TRIM(任务!J174))=0))))</f>
        <v>0</v>
      </c>
      <c r="H193" s="17">
        <f>IF($B193="",0,--(NOT(ISNUMBER(任务!I174))))</f>
        <v>0</v>
      </c>
      <c r="I193" s="17">
        <f t="shared" si="5"/>
        <v>0</v>
      </c>
    </row>
    <row r="194" spans="1:9">
      <c r="A194" s="15">
        <f t="shared" si="4"/>
        <v>175</v>
      </c>
      <c r="B194" s="16" t="str">
        <f>IF(任务!A175="","",任务!A175)</f>
        <v/>
      </c>
      <c r="C194" s="17">
        <f>IF($B194="",0,--(COUNTIF(任务!$A$2:$A$301,$B194)&gt;1))</f>
        <v>0</v>
      </c>
      <c r="D194" s="17">
        <f>IF($B194="",0,--(OR(任务!B175="",任务!C175="",任务!E175="",任务!G175="",任务!H175="",NOT(ISNUMBER(任务!I175)))))</f>
        <v>0</v>
      </c>
      <c r="E194" s="17">
        <f>IF($B194="",0,--(AND(任务!G175&lt;&gt;"",任务!H175&lt;&gt;"",任务!G175&gt;任务!H175)))</f>
        <v>0</v>
      </c>
      <c r="F194" s="17">
        <f>IF($B194="",0,--(OR(任务!I175&lt;0,任务!I175&gt;100)))</f>
        <v>0</v>
      </c>
      <c r="G194" s="17">
        <f>IF($B194="",0,IF(ISNUMBER(SEARCH(",",任务!J175)),0,IF(任务!J175="",0,--(COUNTIF(任务!$A$2:$A$301,TRIM(任务!J175))=0))))</f>
        <v>0</v>
      </c>
      <c r="H194" s="17">
        <f>IF($B194="",0,--(NOT(ISNUMBER(任务!I175))))</f>
        <v>0</v>
      </c>
      <c r="I194" s="17">
        <f t="shared" si="5"/>
        <v>0</v>
      </c>
    </row>
    <row r="195" spans="1:9">
      <c r="A195" s="15">
        <f t="shared" si="4"/>
        <v>176</v>
      </c>
      <c r="B195" s="16" t="str">
        <f>IF(任务!A176="","",任务!A176)</f>
        <v/>
      </c>
      <c r="C195" s="17">
        <f>IF($B195="",0,--(COUNTIF(任务!$A$2:$A$301,$B195)&gt;1))</f>
        <v>0</v>
      </c>
      <c r="D195" s="17">
        <f>IF($B195="",0,--(OR(任务!B176="",任务!C176="",任务!E176="",任务!G176="",任务!H176="",NOT(ISNUMBER(任务!I176)))))</f>
        <v>0</v>
      </c>
      <c r="E195" s="17">
        <f>IF($B195="",0,--(AND(任务!G176&lt;&gt;"",任务!H176&lt;&gt;"",任务!G176&gt;任务!H176)))</f>
        <v>0</v>
      </c>
      <c r="F195" s="17">
        <f>IF($B195="",0,--(OR(任务!I176&lt;0,任务!I176&gt;100)))</f>
        <v>0</v>
      </c>
      <c r="G195" s="17">
        <f>IF($B195="",0,IF(ISNUMBER(SEARCH(",",任务!J176)),0,IF(任务!J176="",0,--(COUNTIF(任务!$A$2:$A$301,TRIM(任务!J176))=0))))</f>
        <v>0</v>
      </c>
      <c r="H195" s="17">
        <f>IF($B195="",0,--(NOT(ISNUMBER(任务!I176))))</f>
        <v>0</v>
      </c>
      <c r="I195" s="17">
        <f t="shared" si="5"/>
        <v>0</v>
      </c>
    </row>
    <row r="196" spans="1:9">
      <c r="A196" s="15">
        <f t="shared" si="4"/>
        <v>177</v>
      </c>
      <c r="B196" s="16" t="str">
        <f>IF(任务!A177="","",任务!A177)</f>
        <v/>
      </c>
      <c r="C196" s="17">
        <f>IF($B196="",0,--(COUNTIF(任务!$A$2:$A$301,$B196)&gt;1))</f>
        <v>0</v>
      </c>
      <c r="D196" s="17">
        <f>IF($B196="",0,--(OR(任务!B177="",任务!C177="",任务!E177="",任务!G177="",任务!H177="",NOT(ISNUMBER(任务!I177)))))</f>
        <v>0</v>
      </c>
      <c r="E196" s="17">
        <f>IF($B196="",0,--(AND(任务!G177&lt;&gt;"",任务!H177&lt;&gt;"",任务!G177&gt;任务!H177)))</f>
        <v>0</v>
      </c>
      <c r="F196" s="17">
        <f>IF($B196="",0,--(OR(任务!I177&lt;0,任务!I177&gt;100)))</f>
        <v>0</v>
      </c>
      <c r="G196" s="17">
        <f>IF($B196="",0,IF(ISNUMBER(SEARCH(",",任务!J177)),0,IF(任务!J177="",0,--(COUNTIF(任务!$A$2:$A$301,TRIM(任务!J177))=0))))</f>
        <v>0</v>
      </c>
      <c r="H196" s="17">
        <f>IF($B196="",0,--(NOT(ISNUMBER(任务!I177))))</f>
        <v>0</v>
      </c>
      <c r="I196" s="17">
        <f t="shared" si="5"/>
        <v>0</v>
      </c>
    </row>
    <row r="197" spans="1:9">
      <c r="A197" s="15">
        <f t="shared" si="4"/>
        <v>178</v>
      </c>
      <c r="B197" s="16" t="str">
        <f>IF(任务!A178="","",任务!A178)</f>
        <v/>
      </c>
      <c r="C197" s="17">
        <f>IF($B197="",0,--(COUNTIF(任务!$A$2:$A$301,$B197)&gt;1))</f>
        <v>0</v>
      </c>
      <c r="D197" s="17">
        <f>IF($B197="",0,--(OR(任务!B178="",任务!C178="",任务!E178="",任务!G178="",任务!H178="",NOT(ISNUMBER(任务!I178)))))</f>
        <v>0</v>
      </c>
      <c r="E197" s="17">
        <f>IF($B197="",0,--(AND(任务!G178&lt;&gt;"",任务!H178&lt;&gt;"",任务!G178&gt;任务!H178)))</f>
        <v>0</v>
      </c>
      <c r="F197" s="17">
        <f>IF($B197="",0,--(OR(任务!I178&lt;0,任务!I178&gt;100)))</f>
        <v>0</v>
      </c>
      <c r="G197" s="17">
        <f>IF($B197="",0,IF(ISNUMBER(SEARCH(",",任务!J178)),0,IF(任务!J178="",0,--(COUNTIF(任务!$A$2:$A$301,TRIM(任务!J178))=0))))</f>
        <v>0</v>
      </c>
      <c r="H197" s="17">
        <f>IF($B197="",0,--(NOT(ISNUMBER(任务!I178))))</f>
        <v>0</v>
      </c>
      <c r="I197" s="17">
        <f t="shared" si="5"/>
        <v>0</v>
      </c>
    </row>
    <row r="198" spans="1:9">
      <c r="A198" s="15">
        <f t="shared" si="4"/>
        <v>179</v>
      </c>
      <c r="B198" s="16" t="str">
        <f>IF(任务!A179="","",任务!A179)</f>
        <v/>
      </c>
      <c r="C198" s="17">
        <f>IF($B198="",0,--(COUNTIF(任务!$A$2:$A$301,$B198)&gt;1))</f>
        <v>0</v>
      </c>
      <c r="D198" s="17">
        <f>IF($B198="",0,--(OR(任务!B179="",任务!C179="",任务!E179="",任务!G179="",任务!H179="",NOT(ISNUMBER(任务!I179)))))</f>
        <v>0</v>
      </c>
      <c r="E198" s="17">
        <f>IF($B198="",0,--(AND(任务!G179&lt;&gt;"",任务!H179&lt;&gt;"",任务!G179&gt;任务!H179)))</f>
        <v>0</v>
      </c>
      <c r="F198" s="17">
        <f>IF($B198="",0,--(OR(任务!I179&lt;0,任务!I179&gt;100)))</f>
        <v>0</v>
      </c>
      <c r="G198" s="17">
        <f>IF($B198="",0,IF(ISNUMBER(SEARCH(",",任务!J179)),0,IF(任务!J179="",0,--(COUNTIF(任务!$A$2:$A$301,TRIM(任务!J179))=0))))</f>
        <v>0</v>
      </c>
      <c r="H198" s="17">
        <f>IF($B198="",0,--(NOT(ISNUMBER(任务!I179))))</f>
        <v>0</v>
      </c>
      <c r="I198" s="17">
        <f t="shared" si="5"/>
        <v>0</v>
      </c>
    </row>
    <row r="199" spans="1:9">
      <c r="A199" s="15">
        <f t="shared" si="4"/>
        <v>180</v>
      </c>
      <c r="B199" s="16" t="str">
        <f>IF(任务!A180="","",任务!A180)</f>
        <v/>
      </c>
      <c r="C199" s="17">
        <f>IF($B199="",0,--(COUNTIF(任务!$A$2:$A$301,$B199)&gt;1))</f>
        <v>0</v>
      </c>
      <c r="D199" s="17">
        <f>IF($B199="",0,--(OR(任务!B180="",任务!C180="",任务!E180="",任务!G180="",任务!H180="",NOT(ISNUMBER(任务!I180)))))</f>
        <v>0</v>
      </c>
      <c r="E199" s="17">
        <f>IF($B199="",0,--(AND(任务!G180&lt;&gt;"",任务!H180&lt;&gt;"",任务!G180&gt;任务!H180)))</f>
        <v>0</v>
      </c>
      <c r="F199" s="17">
        <f>IF($B199="",0,--(OR(任务!I180&lt;0,任务!I180&gt;100)))</f>
        <v>0</v>
      </c>
      <c r="G199" s="17">
        <f>IF($B199="",0,IF(ISNUMBER(SEARCH(",",任务!J180)),0,IF(任务!J180="",0,--(COUNTIF(任务!$A$2:$A$301,TRIM(任务!J180))=0))))</f>
        <v>0</v>
      </c>
      <c r="H199" s="17">
        <f>IF($B199="",0,--(NOT(ISNUMBER(任务!I180))))</f>
        <v>0</v>
      </c>
      <c r="I199" s="17">
        <f t="shared" si="5"/>
        <v>0</v>
      </c>
    </row>
    <row r="200" spans="1:9">
      <c r="A200" s="15">
        <f t="shared" si="4"/>
        <v>181</v>
      </c>
      <c r="B200" s="16" t="str">
        <f>IF(任务!A181="","",任务!A181)</f>
        <v/>
      </c>
      <c r="C200" s="17">
        <f>IF($B200="",0,--(COUNTIF(任务!$A$2:$A$301,$B200)&gt;1))</f>
        <v>0</v>
      </c>
      <c r="D200" s="17">
        <f>IF($B200="",0,--(OR(任务!B181="",任务!C181="",任务!E181="",任务!G181="",任务!H181="",NOT(ISNUMBER(任务!I181)))))</f>
        <v>0</v>
      </c>
      <c r="E200" s="17">
        <f>IF($B200="",0,--(AND(任务!G181&lt;&gt;"",任务!H181&lt;&gt;"",任务!G181&gt;任务!H181)))</f>
        <v>0</v>
      </c>
      <c r="F200" s="17">
        <f>IF($B200="",0,--(OR(任务!I181&lt;0,任务!I181&gt;100)))</f>
        <v>0</v>
      </c>
      <c r="G200" s="17">
        <f>IF($B200="",0,IF(ISNUMBER(SEARCH(",",任务!J181)),0,IF(任务!J181="",0,--(COUNTIF(任务!$A$2:$A$301,TRIM(任务!J181))=0))))</f>
        <v>0</v>
      </c>
      <c r="H200" s="17">
        <f>IF($B200="",0,--(NOT(ISNUMBER(任务!I181))))</f>
        <v>0</v>
      </c>
      <c r="I200" s="17">
        <f t="shared" si="5"/>
        <v>0</v>
      </c>
    </row>
    <row r="201" spans="1:9">
      <c r="A201" s="15">
        <f t="shared" si="4"/>
        <v>182</v>
      </c>
      <c r="B201" s="16" t="str">
        <f>IF(任务!A182="","",任务!A182)</f>
        <v/>
      </c>
      <c r="C201" s="17">
        <f>IF($B201="",0,--(COUNTIF(任务!$A$2:$A$301,$B201)&gt;1))</f>
        <v>0</v>
      </c>
      <c r="D201" s="17">
        <f>IF($B201="",0,--(OR(任务!B182="",任务!C182="",任务!E182="",任务!G182="",任务!H182="",NOT(ISNUMBER(任务!I182)))))</f>
        <v>0</v>
      </c>
      <c r="E201" s="17">
        <f>IF($B201="",0,--(AND(任务!G182&lt;&gt;"",任务!H182&lt;&gt;"",任务!G182&gt;任务!H182)))</f>
        <v>0</v>
      </c>
      <c r="F201" s="17">
        <f>IF($B201="",0,--(OR(任务!I182&lt;0,任务!I182&gt;100)))</f>
        <v>0</v>
      </c>
      <c r="G201" s="17">
        <f>IF($B201="",0,IF(ISNUMBER(SEARCH(",",任务!J182)),0,IF(任务!J182="",0,--(COUNTIF(任务!$A$2:$A$301,TRIM(任务!J182))=0))))</f>
        <v>0</v>
      </c>
      <c r="H201" s="17">
        <f>IF($B201="",0,--(NOT(ISNUMBER(任务!I182))))</f>
        <v>0</v>
      </c>
      <c r="I201" s="17">
        <f t="shared" si="5"/>
        <v>0</v>
      </c>
    </row>
    <row r="202" spans="1:9">
      <c r="A202" s="15">
        <f t="shared" si="4"/>
        <v>183</v>
      </c>
      <c r="B202" s="16" t="str">
        <f>IF(任务!A183="","",任务!A183)</f>
        <v/>
      </c>
      <c r="C202" s="17">
        <f>IF($B202="",0,--(COUNTIF(任务!$A$2:$A$301,$B202)&gt;1))</f>
        <v>0</v>
      </c>
      <c r="D202" s="17">
        <f>IF($B202="",0,--(OR(任务!B183="",任务!C183="",任务!E183="",任务!G183="",任务!H183="",NOT(ISNUMBER(任务!I183)))))</f>
        <v>0</v>
      </c>
      <c r="E202" s="17">
        <f>IF($B202="",0,--(AND(任务!G183&lt;&gt;"",任务!H183&lt;&gt;"",任务!G183&gt;任务!H183)))</f>
        <v>0</v>
      </c>
      <c r="F202" s="17">
        <f>IF($B202="",0,--(OR(任务!I183&lt;0,任务!I183&gt;100)))</f>
        <v>0</v>
      </c>
      <c r="G202" s="17">
        <f>IF($B202="",0,IF(ISNUMBER(SEARCH(",",任务!J183)),0,IF(任务!J183="",0,--(COUNTIF(任务!$A$2:$A$301,TRIM(任务!J183))=0))))</f>
        <v>0</v>
      </c>
      <c r="H202" s="17">
        <f>IF($B202="",0,--(NOT(ISNUMBER(任务!I183))))</f>
        <v>0</v>
      </c>
      <c r="I202" s="17">
        <f t="shared" si="5"/>
        <v>0</v>
      </c>
    </row>
    <row r="203" spans="1:9">
      <c r="A203" s="15">
        <f t="shared" si="4"/>
        <v>184</v>
      </c>
      <c r="B203" s="16" t="str">
        <f>IF(任务!A184="","",任务!A184)</f>
        <v/>
      </c>
      <c r="C203" s="17">
        <f>IF($B203="",0,--(COUNTIF(任务!$A$2:$A$301,$B203)&gt;1))</f>
        <v>0</v>
      </c>
      <c r="D203" s="17">
        <f>IF($B203="",0,--(OR(任务!B184="",任务!C184="",任务!E184="",任务!G184="",任务!H184="",NOT(ISNUMBER(任务!I184)))))</f>
        <v>0</v>
      </c>
      <c r="E203" s="17">
        <f>IF($B203="",0,--(AND(任务!G184&lt;&gt;"",任务!H184&lt;&gt;"",任务!G184&gt;任务!H184)))</f>
        <v>0</v>
      </c>
      <c r="F203" s="17">
        <f>IF($B203="",0,--(OR(任务!I184&lt;0,任务!I184&gt;100)))</f>
        <v>0</v>
      </c>
      <c r="G203" s="17">
        <f>IF($B203="",0,IF(ISNUMBER(SEARCH(",",任务!J184)),0,IF(任务!J184="",0,--(COUNTIF(任务!$A$2:$A$301,TRIM(任务!J184))=0))))</f>
        <v>0</v>
      </c>
      <c r="H203" s="17">
        <f>IF($B203="",0,--(NOT(ISNUMBER(任务!I184))))</f>
        <v>0</v>
      </c>
      <c r="I203" s="17">
        <f t="shared" si="5"/>
        <v>0</v>
      </c>
    </row>
    <row r="204" spans="1:9">
      <c r="A204" s="15">
        <f t="shared" si="4"/>
        <v>185</v>
      </c>
      <c r="B204" s="16" t="str">
        <f>IF(任务!A185="","",任务!A185)</f>
        <v/>
      </c>
      <c r="C204" s="17">
        <f>IF($B204="",0,--(COUNTIF(任务!$A$2:$A$301,$B204)&gt;1))</f>
        <v>0</v>
      </c>
      <c r="D204" s="17">
        <f>IF($B204="",0,--(OR(任务!B185="",任务!C185="",任务!E185="",任务!G185="",任务!H185="",NOT(ISNUMBER(任务!I185)))))</f>
        <v>0</v>
      </c>
      <c r="E204" s="17">
        <f>IF($B204="",0,--(AND(任务!G185&lt;&gt;"",任务!H185&lt;&gt;"",任务!G185&gt;任务!H185)))</f>
        <v>0</v>
      </c>
      <c r="F204" s="17">
        <f>IF($B204="",0,--(OR(任务!I185&lt;0,任务!I185&gt;100)))</f>
        <v>0</v>
      </c>
      <c r="G204" s="17">
        <f>IF($B204="",0,IF(ISNUMBER(SEARCH(",",任务!J185)),0,IF(任务!J185="",0,--(COUNTIF(任务!$A$2:$A$301,TRIM(任务!J185))=0))))</f>
        <v>0</v>
      </c>
      <c r="H204" s="17">
        <f>IF($B204="",0,--(NOT(ISNUMBER(任务!I185))))</f>
        <v>0</v>
      </c>
      <c r="I204" s="17">
        <f t="shared" si="5"/>
        <v>0</v>
      </c>
    </row>
    <row r="205" spans="1:9">
      <c r="A205" s="15">
        <f t="shared" si="4"/>
        <v>186</v>
      </c>
      <c r="B205" s="16" t="str">
        <f>IF(任务!A186="","",任务!A186)</f>
        <v/>
      </c>
      <c r="C205" s="17">
        <f>IF($B205="",0,--(COUNTIF(任务!$A$2:$A$301,$B205)&gt;1))</f>
        <v>0</v>
      </c>
      <c r="D205" s="17">
        <f>IF($B205="",0,--(OR(任务!B186="",任务!C186="",任务!E186="",任务!G186="",任务!H186="",NOT(ISNUMBER(任务!I186)))))</f>
        <v>0</v>
      </c>
      <c r="E205" s="17">
        <f>IF($B205="",0,--(AND(任务!G186&lt;&gt;"",任务!H186&lt;&gt;"",任务!G186&gt;任务!H186)))</f>
        <v>0</v>
      </c>
      <c r="F205" s="17">
        <f>IF($B205="",0,--(OR(任务!I186&lt;0,任务!I186&gt;100)))</f>
        <v>0</v>
      </c>
      <c r="G205" s="17">
        <f>IF($B205="",0,IF(ISNUMBER(SEARCH(",",任务!J186)),0,IF(任务!J186="",0,--(COUNTIF(任务!$A$2:$A$301,TRIM(任务!J186))=0))))</f>
        <v>0</v>
      </c>
      <c r="H205" s="17">
        <f>IF($B205="",0,--(NOT(ISNUMBER(任务!I186))))</f>
        <v>0</v>
      </c>
      <c r="I205" s="17">
        <f t="shared" si="5"/>
        <v>0</v>
      </c>
    </row>
    <row r="206" spans="1:9">
      <c r="A206" s="15">
        <f t="shared" si="4"/>
        <v>187</v>
      </c>
      <c r="B206" s="16" t="str">
        <f>IF(任务!A187="","",任务!A187)</f>
        <v/>
      </c>
      <c r="C206" s="17">
        <f>IF($B206="",0,--(COUNTIF(任务!$A$2:$A$301,$B206)&gt;1))</f>
        <v>0</v>
      </c>
      <c r="D206" s="17">
        <f>IF($B206="",0,--(OR(任务!B187="",任务!C187="",任务!E187="",任务!G187="",任务!H187="",NOT(ISNUMBER(任务!I187)))))</f>
        <v>0</v>
      </c>
      <c r="E206" s="17">
        <f>IF($B206="",0,--(AND(任务!G187&lt;&gt;"",任务!H187&lt;&gt;"",任务!G187&gt;任务!H187)))</f>
        <v>0</v>
      </c>
      <c r="F206" s="17">
        <f>IF($B206="",0,--(OR(任务!I187&lt;0,任务!I187&gt;100)))</f>
        <v>0</v>
      </c>
      <c r="G206" s="17">
        <f>IF($B206="",0,IF(ISNUMBER(SEARCH(",",任务!J187)),0,IF(任务!J187="",0,--(COUNTIF(任务!$A$2:$A$301,TRIM(任务!J187))=0))))</f>
        <v>0</v>
      </c>
      <c r="H206" s="17">
        <f>IF($B206="",0,--(NOT(ISNUMBER(任务!I187))))</f>
        <v>0</v>
      </c>
      <c r="I206" s="17">
        <f t="shared" si="5"/>
        <v>0</v>
      </c>
    </row>
    <row r="207" spans="1:9">
      <c r="A207" s="15">
        <f t="shared" si="4"/>
        <v>188</v>
      </c>
      <c r="B207" s="16" t="str">
        <f>IF(任务!A188="","",任务!A188)</f>
        <v/>
      </c>
      <c r="C207" s="17">
        <f>IF($B207="",0,--(COUNTIF(任务!$A$2:$A$301,$B207)&gt;1))</f>
        <v>0</v>
      </c>
      <c r="D207" s="17">
        <f>IF($B207="",0,--(OR(任务!B188="",任务!C188="",任务!E188="",任务!G188="",任务!H188="",NOT(ISNUMBER(任务!I188)))))</f>
        <v>0</v>
      </c>
      <c r="E207" s="17">
        <f>IF($B207="",0,--(AND(任务!G188&lt;&gt;"",任务!H188&lt;&gt;"",任务!G188&gt;任务!H188)))</f>
        <v>0</v>
      </c>
      <c r="F207" s="17">
        <f>IF($B207="",0,--(OR(任务!I188&lt;0,任务!I188&gt;100)))</f>
        <v>0</v>
      </c>
      <c r="G207" s="17">
        <f>IF($B207="",0,IF(ISNUMBER(SEARCH(",",任务!J188)),0,IF(任务!J188="",0,--(COUNTIF(任务!$A$2:$A$301,TRIM(任务!J188))=0))))</f>
        <v>0</v>
      </c>
      <c r="H207" s="17">
        <f>IF($B207="",0,--(NOT(ISNUMBER(任务!I188))))</f>
        <v>0</v>
      </c>
      <c r="I207" s="17">
        <f t="shared" si="5"/>
        <v>0</v>
      </c>
    </row>
    <row r="208" spans="1:9">
      <c r="A208" s="15">
        <f t="shared" si="4"/>
        <v>189</v>
      </c>
      <c r="B208" s="16" t="str">
        <f>IF(任务!A189="","",任务!A189)</f>
        <v/>
      </c>
      <c r="C208" s="17">
        <f>IF($B208="",0,--(COUNTIF(任务!$A$2:$A$301,$B208)&gt;1))</f>
        <v>0</v>
      </c>
      <c r="D208" s="17">
        <f>IF($B208="",0,--(OR(任务!B189="",任务!C189="",任务!E189="",任务!G189="",任务!H189="",NOT(ISNUMBER(任务!I189)))))</f>
        <v>0</v>
      </c>
      <c r="E208" s="17">
        <f>IF($B208="",0,--(AND(任务!G189&lt;&gt;"",任务!H189&lt;&gt;"",任务!G189&gt;任务!H189)))</f>
        <v>0</v>
      </c>
      <c r="F208" s="17">
        <f>IF($B208="",0,--(OR(任务!I189&lt;0,任务!I189&gt;100)))</f>
        <v>0</v>
      </c>
      <c r="G208" s="17">
        <f>IF($B208="",0,IF(ISNUMBER(SEARCH(",",任务!J189)),0,IF(任务!J189="",0,--(COUNTIF(任务!$A$2:$A$301,TRIM(任务!J189))=0))))</f>
        <v>0</v>
      </c>
      <c r="H208" s="17">
        <f>IF($B208="",0,--(NOT(ISNUMBER(任务!I189))))</f>
        <v>0</v>
      </c>
      <c r="I208" s="17">
        <f t="shared" si="5"/>
        <v>0</v>
      </c>
    </row>
    <row r="209" spans="1:9">
      <c r="A209" s="15">
        <f t="shared" si="4"/>
        <v>190</v>
      </c>
      <c r="B209" s="16" t="str">
        <f>IF(任务!A190="","",任务!A190)</f>
        <v/>
      </c>
      <c r="C209" s="17">
        <f>IF($B209="",0,--(COUNTIF(任务!$A$2:$A$301,$B209)&gt;1))</f>
        <v>0</v>
      </c>
      <c r="D209" s="17">
        <f>IF($B209="",0,--(OR(任务!B190="",任务!C190="",任务!E190="",任务!G190="",任务!H190="",NOT(ISNUMBER(任务!I190)))))</f>
        <v>0</v>
      </c>
      <c r="E209" s="17">
        <f>IF($B209="",0,--(AND(任务!G190&lt;&gt;"",任务!H190&lt;&gt;"",任务!G190&gt;任务!H190)))</f>
        <v>0</v>
      </c>
      <c r="F209" s="17">
        <f>IF($B209="",0,--(OR(任务!I190&lt;0,任务!I190&gt;100)))</f>
        <v>0</v>
      </c>
      <c r="G209" s="17">
        <f>IF($B209="",0,IF(ISNUMBER(SEARCH(",",任务!J190)),0,IF(任务!J190="",0,--(COUNTIF(任务!$A$2:$A$301,TRIM(任务!J190))=0))))</f>
        <v>0</v>
      </c>
      <c r="H209" s="17">
        <f>IF($B209="",0,--(NOT(ISNUMBER(任务!I190))))</f>
        <v>0</v>
      </c>
      <c r="I209" s="17">
        <f t="shared" si="5"/>
        <v>0</v>
      </c>
    </row>
    <row r="210" spans="1:9">
      <c r="A210" s="15">
        <f t="shared" si="4"/>
        <v>191</v>
      </c>
      <c r="B210" s="16" t="str">
        <f>IF(任务!A191="","",任务!A191)</f>
        <v/>
      </c>
      <c r="C210" s="17">
        <f>IF($B210="",0,--(COUNTIF(任务!$A$2:$A$301,$B210)&gt;1))</f>
        <v>0</v>
      </c>
      <c r="D210" s="17">
        <f>IF($B210="",0,--(OR(任务!B191="",任务!C191="",任务!E191="",任务!G191="",任务!H191="",NOT(ISNUMBER(任务!I191)))))</f>
        <v>0</v>
      </c>
      <c r="E210" s="17">
        <f>IF($B210="",0,--(AND(任务!G191&lt;&gt;"",任务!H191&lt;&gt;"",任务!G191&gt;任务!H191)))</f>
        <v>0</v>
      </c>
      <c r="F210" s="17">
        <f>IF($B210="",0,--(OR(任务!I191&lt;0,任务!I191&gt;100)))</f>
        <v>0</v>
      </c>
      <c r="G210" s="17">
        <f>IF($B210="",0,IF(ISNUMBER(SEARCH(",",任务!J191)),0,IF(任务!J191="",0,--(COUNTIF(任务!$A$2:$A$301,TRIM(任务!J191))=0))))</f>
        <v>0</v>
      </c>
      <c r="H210" s="17">
        <f>IF($B210="",0,--(NOT(ISNUMBER(任务!I191))))</f>
        <v>0</v>
      </c>
      <c r="I210" s="17">
        <f t="shared" si="5"/>
        <v>0</v>
      </c>
    </row>
    <row r="211" spans="1:9">
      <c r="A211" s="15">
        <f t="shared" si="4"/>
        <v>192</v>
      </c>
      <c r="B211" s="16" t="str">
        <f>IF(任务!A192="","",任务!A192)</f>
        <v/>
      </c>
      <c r="C211" s="17">
        <f>IF($B211="",0,--(COUNTIF(任务!$A$2:$A$301,$B211)&gt;1))</f>
        <v>0</v>
      </c>
      <c r="D211" s="17">
        <f>IF($B211="",0,--(OR(任务!B192="",任务!C192="",任务!E192="",任务!G192="",任务!H192="",NOT(ISNUMBER(任务!I192)))))</f>
        <v>0</v>
      </c>
      <c r="E211" s="17">
        <f>IF($B211="",0,--(AND(任务!G192&lt;&gt;"",任务!H192&lt;&gt;"",任务!G192&gt;任务!H192)))</f>
        <v>0</v>
      </c>
      <c r="F211" s="17">
        <f>IF($B211="",0,--(OR(任务!I192&lt;0,任务!I192&gt;100)))</f>
        <v>0</v>
      </c>
      <c r="G211" s="17">
        <f>IF($B211="",0,IF(ISNUMBER(SEARCH(",",任务!J192)),0,IF(任务!J192="",0,--(COUNTIF(任务!$A$2:$A$301,TRIM(任务!J192))=0))))</f>
        <v>0</v>
      </c>
      <c r="H211" s="17">
        <f>IF($B211="",0,--(NOT(ISNUMBER(任务!I192))))</f>
        <v>0</v>
      </c>
      <c r="I211" s="17">
        <f t="shared" si="5"/>
        <v>0</v>
      </c>
    </row>
    <row r="212" spans="1:9">
      <c r="A212" s="15">
        <f t="shared" si="4"/>
        <v>193</v>
      </c>
      <c r="B212" s="16" t="str">
        <f>IF(任务!A193="","",任务!A193)</f>
        <v/>
      </c>
      <c r="C212" s="17">
        <f>IF($B212="",0,--(COUNTIF(任务!$A$2:$A$301,$B212)&gt;1))</f>
        <v>0</v>
      </c>
      <c r="D212" s="17">
        <f>IF($B212="",0,--(OR(任务!B193="",任务!C193="",任务!E193="",任务!G193="",任务!H193="",NOT(ISNUMBER(任务!I193)))))</f>
        <v>0</v>
      </c>
      <c r="E212" s="17">
        <f>IF($B212="",0,--(AND(任务!G193&lt;&gt;"",任务!H193&lt;&gt;"",任务!G193&gt;任务!H193)))</f>
        <v>0</v>
      </c>
      <c r="F212" s="17">
        <f>IF($B212="",0,--(OR(任务!I193&lt;0,任务!I193&gt;100)))</f>
        <v>0</v>
      </c>
      <c r="G212" s="17">
        <f>IF($B212="",0,IF(ISNUMBER(SEARCH(",",任务!J193)),0,IF(任务!J193="",0,--(COUNTIF(任务!$A$2:$A$301,TRIM(任务!J193))=0))))</f>
        <v>0</v>
      </c>
      <c r="H212" s="17">
        <f>IF($B212="",0,--(NOT(ISNUMBER(任务!I193))))</f>
        <v>0</v>
      </c>
      <c r="I212" s="17">
        <f t="shared" si="5"/>
        <v>0</v>
      </c>
    </row>
    <row r="213" spans="1:9">
      <c r="A213" s="15">
        <f t="shared" ref="A213:A276" si="6">ROW()-19</f>
        <v>194</v>
      </c>
      <c r="B213" s="16" t="str">
        <f>IF(任务!A194="","",任务!A194)</f>
        <v/>
      </c>
      <c r="C213" s="17">
        <f>IF($B213="",0,--(COUNTIF(任务!$A$2:$A$301,$B213)&gt;1))</f>
        <v>0</v>
      </c>
      <c r="D213" s="17">
        <f>IF($B213="",0,--(OR(任务!B194="",任务!C194="",任务!E194="",任务!G194="",任务!H194="",NOT(ISNUMBER(任务!I194)))))</f>
        <v>0</v>
      </c>
      <c r="E213" s="17">
        <f>IF($B213="",0,--(AND(任务!G194&lt;&gt;"",任务!H194&lt;&gt;"",任务!G194&gt;任务!H194)))</f>
        <v>0</v>
      </c>
      <c r="F213" s="17">
        <f>IF($B213="",0,--(OR(任务!I194&lt;0,任务!I194&gt;100)))</f>
        <v>0</v>
      </c>
      <c r="G213" s="17">
        <f>IF($B213="",0,IF(ISNUMBER(SEARCH(",",任务!J194)),0,IF(任务!J194="",0,--(COUNTIF(任务!$A$2:$A$301,TRIM(任务!J194))=0))))</f>
        <v>0</v>
      </c>
      <c r="H213" s="17">
        <f>IF($B213="",0,--(NOT(ISNUMBER(任务!I194))))</f>
        <v>0</v>
      </c>
      <c r="I213" s="17">
        <f t="shared" ref="I213:I276" si="7">IF($B213="",0,C213+D213+E213+F213+G213+I213)</f>
        <v>0</v>
      </c>
    </row>
    <row r="214" spans="1:9">
      <c r="A214" s="15">
        <f t="shared" si="6"/>
        <v>195</v>
      </c>
      <c r="B214" s="16" t="str">
        <f>IF(任务!A195="","",任务!A195)</f>
        <v/>
      </c>
      <c r="C214" s="17">
        <f>IF($B214="",0,--(COUNTIF(任务!$A$2:$A$301,$B214)&gt;1))</f>
        <v>0</v>
      </c>
      <c r="D214" s="17">
        <f>IF($B214="",0,--(OR(任务!B195="",任务!C195="",任务!E195="",任务!G195="",任务!H195="",NOT(ISNUMBER(任务!I195)))))</f>
        <v>0</v>
      </c>
      <c r="E214" s="17">
        <f>IF($B214="",0,--(AND(任务!G195&lt;&gt;"",任务!H195&lt;&gt;"",任务!G195&gt;任务!H195)))</f>
        <v>0</v>
      </c>
      <c r="F214" s="17">
        <f>IF($B214="",0,--(OR(任务!I195&lt;0,任务!I195&gt;100)))</f>
        <v>0</v>
      </c>
      <c r="G214" s="17">
        <f>IF($B214="",0,IF(ISNUMBER(SEARCH(",",任务!J195)),0,IF(任务!J195="",0,--(COUNTIF(任务!$A$2:$A$301,TRIM(任务!J195))=0))))</f>
        <v>0</v>
      </c>
      <c r="H214" s="17">
        <f>IF($B214="",0,--(NOT(ISNUMBER(任务!I195))))</f>
        <v>0</v>
      </c>
      <c r="I214" s="17">
        <f t="shared" si="7"/>
        <v>0</v>
      </c>
    </row>
    <row r="215" spans="1:9">
      <c r="A215" s="15">
        <f t="shared" si="6"/>
        <v>196</v>
      </c>
      <c r="B215" s="16" t="str">
        <f>IF(任务!A196="","",任务!A196)</f>
        <v/>
      </c>
      <c r="C215" s="17">
        <f>IF($B215="",0,--(COUNTIF(任务!$A$2:$A$301,$B215)&gt;1))</f>
        <v>0</v>
      </c>
      <c r="D215" s="17">
        <f>IF($B215="",0,--(OR(任务!B196="",任务!C196="",任务!E196="",任务!G196="",任务!H196="",NOT(ISNUMBER(任务!I196)))))</f>
        <v>0</v>
      </c>
      <c r="E215" s="17">
        <f>IF($B215="",0,--(AND(任务!G196&lt;&gt;"",任务!H196&lt;&gt;"",任务!G196&gt;任务!H196)))</f>
        <v>0</v>
      </c>
      <c r="F215" s="17">
        <f>IF($B215="",0,--(OR(任务!I196&lt;0,任务!I196&gt;100)))</f>
        <v>0</v>
      </c>
      <c r="G215" s="17">
        <f>IF($B215="",0,IF(ISNUMBER(SEARCH(",",任务!J196)),0,IF(任务!J196="",0,--(COUNTIF(任务!$A$2:$A$301,TRIM(任务!J196))=0))))</f>
        <v>0</v>
      </c>
      <c r="H215" s="17">
        <f>IF($B215="",0,--(NOT(ISNUMBER(任务!I196))))</f>
        <v>0</v>
      </c>
      <c r="I215" s="17">
        <f t="shared" si="7"/>
        <v>0</v>
      </c>
    </row>
    <row r="216" spans="1:9">
      <c r="A216" s="15">
        <f t="shared" si="6"/>
        <v>197</v>
      </c>
      <c r="B216" s="16" t="str">
        <f>IF(任务!A197="","",任务!A197)</f>
        <v/>
      </c>
      <c r="C216" s="17">
        <f>IF($B216="",0,--(COUNTIF(任务!$A$2:$A$301,$B216)&gt;1))</f>
        <v>0</v>
      </c>
      <c r="D216" s="17">
        <f>IF($B216="",0,--(OR(任务!B197="",任务!C197="",任务!E197="",任务!G197="",任务!H197="",NOT(ISNUMBER(任务!I197)))))</f>
        <v>0</v>
      </c>
      <c r="E216" s="17">
        <f>IF($B216="",0,--(AND(任务!G197&lt;&gt;"",任务!H197&lt;&gt;"",任务!G197&gt;任务!H197)))</f>
        <v>0</v>
      </c>
      <c r="F216" s="17">
        <f>IF($B216="",0,--(OR(任务!I197&lt;0,任务!I197&gt;100)))</f>
        <v>0</v>
      </c>
      <c r="G216" s="17">
        <f>IF($B216="",0,IF(ISNUMBER(SEARCH(",",任务!J197)),0,IF(任务!J197="",0,--(COUNTIF(任务!$A$2:$A$301,TRIM(任务!J197))=0))))</f>
        <v>0</v>
      </c>
      <c r="H216" s="17">
        <f>IF($B216="",0,--(NOT(ISNUMBER(任务!I197))))</f>
        <v>0</v>
      </c>
      <c r="I216" s="17">
        <f t="shared" si="7"/>
        <v>0</v>
      </c>
    </row>
    <row r="217" spans="1:9">
      <c r="A217" s="15">
        <f t="shared" si="6"/>
        <v>198</v>
      </c>
      <c r="B217" s="16" t="str">
        <f>IF(任务!A198="","",任务!A198)</f>
        <v/>
      </c>
      <c r="C217" s="17">
        <f>IF($B217="",0,--(COUNTIF(任务!$A$2:$A$301,$B217)&gt;1))</f>
        <v>0</v>
      </c>
      <c r="D217" s="17">
        <f>IF($B217="",0,--(OR(任务!B198="",任务!C198="",任务!E198="",任务!G198="",任务!H198="",NOT(ISNUMBER(任务!I198)))))</f>
        <v>0</v>
      </c>
      <c r="E217" s="17">
        <f>IF($B217="",0,--(AND(任务!G198&lt;&gt;"",任务!H198&lt;&gt;"",任务!G198&gt;任务!H198)))</f>
        <v>0</v>
      </c>
      <c r="F217" s="17">
        <f>IF($B217="",0,--(OR(任务!I198&lt;0,任务!I198&gt;100)))</f>
        <v>0</v>
      </c>
      <c r="G217" s="17">
        <f>IF($B217="",0,IF(ISNUMBER(SEARCH(",",任务!J198)),0,IF(任务!J198="",0,--(COUNTIF(任务!$A$2:$A$301,TRIM(任务!J198))=0))))</f>
        <v>0</v>
      </c>
      <c r="H217" s="17">
        <f>IF($B217="",0,--(NOT(ISNUMBER(任务!I198))))</f>
        <v>0</v>
      </c>
      <c r="I217" s="17">
        <f t="shared" si="7"/>
        <v>0</v>
      </c>
    </row>
    <row r="218" spans="1:9">
      <c r="A218" s="15">
        <f t="shared" si="6"/>
        <v>199</v>
      </c>
      <c r="B218" s="16" t="str">
        <f>IF(任务!A199="","",任务!A199)</f>
        <v/>
      </c>
      <c r="C218" s="17">
        <f>IF($B218="",0,--(COUNTIF(任务!$A$2:$A$301,$B218)&gt;1))</f>
        <v>0</v>
      </c>
      <c r="D218" s="17">
        <f>IF($B218="",0,--(OR(任务!B199="",任务!C199="",任务!E199="",任务!G199="",任务!H199="",NOT(ISNUMBER(任务!I199)))))</f>
        <v>0</v>
      </c>
      <c r="E218" s="17">
        <f>IF($B218="",0,--(AND(任务!G199&lt;&gt;"",任务!H199&lt;&gt;"",任务!G199&gt;任务!H199)))</f>
        <v>0</v>
      </c>
      <c r="F218" s="17">
        <f>IF($B218="",0,--(OR(任务!I199&lt;0,任务!I199&gt;100)))</f>
        <v>0</v>
      </c>
      <c r="G218" s="17">
        <f>IF($B218="",0,IF(ISNUMBER(SEARCH(",",任务!J199)),0,IF(任务!J199="",0,--(COUNTIF(任务!$A$2:$A$301,TRIM(任务!J199))=0))))</f>
        <v>0</v>
      </c>
      <c r="H218" s="17">
        <f>IF($B218="",0,--(NOT(ISNUMBER(任务!I199))))</f>
        <v>0</v>
      </c>
      <c r="I218" s="17">
        <f t="shared" si="7"/>
        <v>0</v>
      </c>
    </row>
    <row r="219" spans="1:9">
      <c r="A219" s="15">
        <f t="shared" si="6"/>
        <v>200</v>
      </c>
      <c r="B219" s="16" t="str">
        <f>IF(任务!A200="","",任务!A200)</f>
        <v/>
      </c>
      <c r="C219" s="17">
        <f>IF($B219="",0,--(COUNTIF(任务!$A$2:$A$301,$B219)&gt;1))</f>
        <v>0</v>
      </c>
      <c r="D219" s="17">
        <f>IF($B219="",0,--(OR(任务!B200="",任务!C200="",任务!E200="",任务!G200="",任务!H200="",NOT(ISNUMBER(任务!I200)))))</f>
        <v>0</v>
      </c>
      <c r="E219" s="17">
        <f>IF($B219="",0,--(AND(任务!G200&lt;&gt;"",任务!H200&lt;&gt;"",任务!G200&gt;任务!H200)))</f>
        <v>0</v>
      </c>
      <c r="F219" s="17">
        <f>IF($B219="",0,--(OR(任务!I200&lt;0,任务!I200&gt;100)))</f>
        <v>0</v>
      </c>
      <c r="G219" s="17">
        <f>IF($B219="",0,IF(ISNUMBER(SEARCH(",",任务!J200)),0,IF(任务!J200="",0,--(COUNTIF(任务!$A$2:$A$301,TRIM(任务!J200))=0))))</f>
        <v>0</v>
      </c>
      <c r="H219" s="17">
        <f>IF($B219="",0,--(NOT(ISNUMBER(任务!I200))))</f>
        <v>0</v>
      </c>
      <c r="I219" s="17">
        <f t="shared" si="7"/>
        <v>0</v>
      </c>
    </row>
    <row r="220" spans="1:9">
      <c r="A220" s="15">
        <f t="shared" si="6"/>
        <v>201</v>
      </c>
      <c r="B220" s="16" t="str">
        <f>IF(任务!A201="","",任务!A201)</f>
        <v/>
      </c>
      <c r="C220" s="17">
        <f>IF($B220="",0,--(COUNTIF(任务!$A$2:$A$301,$B220)&gt;1))</f>
        <v>0</v>
      </c>
      <c r="D220" s="17">
        <f>IF($B220="",0,--(OR(任务!B201="",任务!C201="",任务!E201="",任务!G201="",任务!H201="",NOT(ISNUMBER(任务!I201)))))</f>
        <v>0</v>
      </c>
      <c r="E220" s="17">
        <f>IF($B220="",0,--(AND(任务!G201&lt;&gt;"",任务!H201&lt;&gt;"",任务!G201&gt;任务!H201)))</f>
        <v>0</v>
      </c>
      <c r="F220" s="17">
        <f>IF($B220="",0,--(OR(任务!I201&lt;0,任务!I201&gt;100)))</f>
        <v>0</v>
      </c>
      <c r="G220" s="17">
        <f>IF($B220="",0,IF(ISNUMBER(SEARCH(",",任务!J201)),0,IF(任务!J201="",0,--(COUNTIF(任务!$A$2:$A$301,TRIM(任务!J201))=0))))</f>
        <v>0</v>
      </c>
      <c r="H220" s="17">
        <f>IF($B220="",0,--(NOT(ISNUMBER(任务!I201))))</f>
        <v>0</v>
      </c>
      <c r="I220" s="17">
        <f t="shared" si="7"/>
        <v>0</v>
      </c>
    </row>
    <row r="221" spans="1:9">
      <c r="A221" s="15">
        <f t="shared" si="6"/>
        <v>202</v>
      </c>
      <c r="B221" s="16" t="str">
        <f>IF(任务!A202="","",任务!A202)</f>
        <v/>
      </c>
      <c r="C221" s="17">
        <f>IF($B221="",0,--(COUNTIF(任务!$A$2:$A$301,$B221)&gt;1))</f>
        <v>0</v>
      </c>
      <c r="D221" s="17">
        <f>IF($B221="",0,--(OR(任务!B202="",任务!C202="",任务!E202="",任务!G202="",任务!H202="",NOT(ISNUMBER(任务!I202)))))</f>
        <v>0</v>
      </c>
      <c r="E221" s="17">
        <f>IF($B221="",0,--(AND(任务!G202&lt;&gt;"",任务!H202&lt;&gt;"",任务!G202&gt;任务!H202)))</f>
        <v>0</v>
      </c>
      <c r="F221" s="17">
        <f>IF($B221="",0,--(OR(任务!I202&lt;0,任务!I202&gt;100)))</f>
        <v>0</v>
      </c>
      <c r="G221" s="17">
        <f>IF($B221="",0,IF(ISNUMBER(SEARCH(",",任务!J202)),0,IF(任务!J202="",0,--(COUNTIF(任务!$A$2:$A$301,TRIM(任务!J202))=0))))</f>
        <v>0</v>
      </c>
      <c r="H221" s="17">
        <f>IF($B221="",0,--(NOT(ISNUMBER(任务!I202))))</f>
        <v>0</v>
      </c>
      <c r="I221" s="17">
        <f t="shared" si="7"/>
        <v>0</v>
      </c>
    </row>
    <row r="222" spans="1:9">
      <c r="A222" s="15">
        <f t="shared" si="6"/>
        <v>203</v>
      </c>
      <c r="B222" s="16" t="str">
        <f>IF(任务!A203="","",任务!A203)</f>
        <v/>
      </c>
      <c r="C222" s="17">
        <f>IF($B222="",0,--(COUNTIF(任务!$A$2:$A$301,$B222)&gt;1))</f>
        <v>0</v>
      </c>
      <c r="D222" s="17">
        <f>IF($B222="",0,--(OR(任务!B203="",任务!C203="",任务!E203="",任务!G203="",任务!H203="",NOT(ISNUMBER(任务!I203)))))</f>
        <v>0</v>
      </c>
      <c r="E222" s="17">
        <f>IF($B222="",0,--(AND(任务!G203&lt;&gt;"",任务!H203&lt;&gt;"",任务!G203&gt;任务!H203)))</f>
        <v>0</v>
      </c>
      <c r="F222" s="17">
        <f>IF($B222="",0,--(OR(任务!I203&lt;0,任务!I203&gt;100)))</f>
        <v>0</v>
      </c>
      <c r="G222" s="17">
        <f>IF($B222="",0,IF(ISNUMBER(SEARCH(",",任务!J203)),0,IF(任务!J203="",0,--(COUNTIF(任务!$A$2:$A$301,TRIM(任务!J203))=0))))</f>
        <v>0</v>
      </c>
      <c r="H222" s="17">
        <f>IF($B222="",0,--(NOT(ISNUMBER(任务!I203))))</f>
        <v>0</v>
      </c>
      <c r="I222" s="17">
        <f t="shared" si="7"/>
        <v>0</v>
      </c>
    </row>
    <row r="223" spans="1:9">
      <c r="A223" s="15">
        <f t="shared" si="6"/>
        <v>204</v>
      </c>
      <c r="B223" s="16" t="str">
        <f>IF(任务!A204="","",任务!A204)</f>
        <v/>
      </c>
      <c r="C223" s="17">
        <f>IF($B223="",0,--(COUNTIF(任务!$A$2:$A$301,$B223)&gt;1))</f>
        <v>0</v>
      </c>
      <c r="D223" s="17">
        <f>IF($B223="",0,--(OR(任务!B204="",任务!C204="",任务!E204="",任务!G204="",任务!H204="",NOT(ISNUMBER(任务!I204)))))</f>
        <v>0</v>
      </c>
      <c r="E223" s="17">
        <f>IF($B223="",0,--(AND(任务!G204&lt;&gt;"",任务!H204&lt;&gt;"",任务!G204&gt;任务!H204)))</f>
        <v>0</v>
      </c>
      <c r="F223" s="17">
        <f>IF($B223="",0,--(OR(任务!I204&lt;0,任务!I204&gt;100)))</f>
        <v>0</v>
      </c>
      <c r="G223" s="17">
        <f>IF($B223="",0,IF(ISNUMBER(SEARCH(",",任务!J204)),0,IF(任务!J204="",0,--(COUNTIF(任务!$A$2:$A$301,TRIM(任务!J204))=0))))</f>
        <v>0</v>
      </c>
      <c r="H223" s="17">
        <f>IF($B223="",0,--(NOT(ISNUMBER(任务!I204))))</f>
        <v>0</v>
      </c>
      <c r="I223" s="17">
        <f t="shared" si="7"/>
        <v>0</v>
      </c>
    </row>
    <row r="224" spans="1:9">
      <c r="A224" s="15">
        <f t="shared" si="6"/>
        <v>205</v>
      </c>
      <c r="B224" s="16" t="str">
        <f>IF(任务!A205="","",任务!A205)</f>
        <v/>
      </c>
      <c r="C224" s="17">
        <f>IF($B224="",0,--(COUNTIF(任务!$A$2:$A$301,$B224)&gt;1))</f>
        <v>0</v>
      </c>
      <c r="D224" s="17">
        <f>IF($B224="",0,--(OR(任务!B205="",任务!C205="",任务!E205="",任务!G205="",任务!H205="",NOT(ISNUMBER(任务!I205)))))</f>
        <v>0</v>
      </c>
      <c r="E224" s="17">
        <f>IF($B224="",0,--(AND(任务!G205&lt;&gt;"",任务!H205&lt;&gt;"",任务!G205&gt;任务!H205)))</f>
        <v>0</v>
      </c>
      <c r="F224" s="17">
        <f>IF($B224="",0,--(OR(任务!I205&lt;0,任务!I205&gt;100)))</f>
        <v>0</v>
      </c>
      <c r="G224" s="17">
        <f>IF($B224="",0,IF(ISNUMBER(SEARCH(",",任务!J205)),0,IF(任务!J205="",0,--(COUNTIF(任务!$A$2:$A$301,TRIM(任务!J205))=0))))</f>
        <v>0</v>
      </c>
      <c r="H224" s="17">
        <f>IF($B224="",0,--(NOT(ISNUMBER(任务!I205))))</f>
        <v>0</v>
      </c>
      <c r="I224" s="17">
        <f t="shared" si="7"/>
        <v>0</v>
      </c>
    </row>
    <row r="225" spans="1:9">
      <c r="A225" s="15">
        <f t="shared" si="6"/>
        <v>206</v>
      </c>
      <c r="B225" s="16" t="str">
        <f>IF(任务!A206="","",任务!A206)</f>
        <v/>
      </c>
      <c r="C225" s="17">
        <f>IF($B225="",0,--(COUNTIF(任务!$A$2:$A$301,$B225)&gt;1))</f>
        <v>0</v>
      </c>
      <c r="D225" s="17">
        <f>IF($B225="",0,--(OR(任务!B206="",任务!C206="",任务!E206="",任务!G206="",任务!H206="",NOT(ISNUMBER(任务!I206)))))</f>
        <v>0</v>
      </c>
      <c r="E225" s="17">
        <f>IF($B225="",0,--(AND(任务!G206&lt;&gt;"",任务!H206&lt;&gt;"",任务!G206&gt;任务!H206)))</f>
        <v>0</v>
      </c>
      <c r="F225" s="17">
        <f>IF($B225="",0,--(OR(任务!I206&lt;0,任务!I206&gt;100)))</f>
        <v>0</v>
      </c>
      <c r="G225" s="17">
        <f>IF($B225="",0,IF(ISNUMBER(SEARCH(",",任务!J206)),0,IF(任务!J206="",0,--(COUNTIF(任务!$A$2:$A$301,TRIM(任务!J206))=0))))</f>
        <v>0</v>
      </c>
      <c r="H225" s="17">
        <f>IF($B225="",0,--(NOT(ISNUMBER(任务!I206))))</f>
        <v>0</v>
      </c>
      <c r="I225" s="17">
        <f t="shared" si="7"/>
        <v>0</v>
      </c>
    </row>
    <row r="226" spans="1:9">
      <c r="A226" s="15">
        <f t="shared" si="6"/>
        <v>207</v>
      </c>
      <c r="B226" s="16" t="str">
        <f>IF(任务!A207="","",任务!A207)</f>
        <v/>
      </c>
      <c r="C226" s="17">
        <f>IF($B226="",0,--(COUNTIF(任务!$A$2:$A$301,$B226)&gt;1))</f>
        <v>0</v>
      </c>
      <c r="D226" s="17">
        <f>IF($B226="",0,--(OR(任务!B207="",任务!C207="",任务!E207="",任务!G207="",任务!H207="",NOT(ISNUMBER(任务!I207)))))</f>
        <v>0</v>
      </c>
      <c r="E226" s="17">
        <f>IF($B226="",0,--(AND(任务!G207&lt;&gt;"",任务!H207&lt;&gt;"",任务!G207&gt;任务!H207)))</f>
        <v>0</v>
      </c>
      <c r="F226" s="17">
        <f>IF($B226="",0,--(OR(任务!I207&lt;0,任务!I207&gt;100)))</f>
        <v>0</v>
      </c>
      <c r="G226" s="17">
        <f>IF($B226="",0,IF(ISNUMBER(SEARCH(",",任务!J207)),0,IF(任务!J207="",0,--(COUNTIF(任务!$A$2:$A$301,TRIM(任务!J207))=0))))</f>
        <v>0</v>
      </c>
      <c r="H226" s="17">
        <f>IF($B226="",0,--(NOT(ISNUMBER(任务!I207))))</f>
        <v>0</v>
      </c>
      <c r="I226" s="17">
        <f t="shared" si="7"/>
        <v>0</v>
      </c>
    </row>
    <row r="227" spans="1:9">
      <c r="A227" s="15">
        <f t="shared" si="6"/>
        <v>208</v>
      </c>
      <c r="B227" s="16" t="str">
        <f>IF(任务!A208="","",任务!A208)</f>
        <v/>
      </c>
      <c r="C227" s="17">
        <f>IF($B227="",0,--(COUNTIF(任务!$A$2:$A$301,$B227)&gt;1))</f>
        <v>0</v>
      </c>
      <c r="D227" s="17">
        <f>IF($B227="",0,--(OR(任务!B208="",任务!C208="",任务!E208="",任务!G208="",任务!H208="",NOT(ISNUMBER(任务!I208)))))</f>
        <v>0</v>
      </c>
      <c r="E227" s="17">
        <f>IF($B227="",0,--(AND(任务!G208&lt;&gt;"",任务!H208&lt;&gt;"",任务!G208&gt;任务!H208)))</f>
        <v>0</v>
      </c>
      <c r="F227" s="17">
        <f>IF($B227="",0,--(OR(任务!I208&lt;0,任务!I208&gt;100)))</f>
        <v>0</v>
      </c>
      <c r="G227" s="17">
        <f>IF($B227="",0,IF(ISNUMBER(SEARCH(",",任务!J208)),0,IF(任务!J208="",0,--(COUNTIF(任务!$A$2:$A$301,TRIM(任务!J208))=0))))</f>
        <v>0</v>
      </c>
      <c r="H227" s="17">
        <f>IF($B227="",0,--(NOT(ISNUMBER(任务!I208))))</f>
        <v>0</v>
      </c>
      <c r="I227" s="17">
        <f t="shared" si="7"/>
        <v>0</v>
      </c>
    </row>
    <row r="228" spans="1:9">
      <c r="A228" s="15">
        <f t="shared" si="6"/>
        <v>209</v>
      </c>
      <c r="B228" s="16" t="str">
        <f>IF(任务!A209="","",任务!A209)</f>
        <v/>
      </c>
      <c r="C228" s="17">
        <f>IF($B228="",0,--(COUNTIF(任务!$A$2:$A$301,$B228)&gt;1))</f>
        <v>0</v>
      </c>
      <c r="D228" s="17">
        <f>IF($B228="",0,--(OR(任务!B209="",任务!C209="",任务!E209="",任务!G209="",任务!H209="",NOT(ISNUMBER(任务!I209)))))</f>
        <v>0</v>
      </c>
      <c r="E228" s="17">
        <f>IF($B228="",0,--(AND(任务!G209&lt;&gt;"",任务!H209&lt;&gt;"",任务!G209&gt;任务!H209)))</f>
        <v>0</v>
      </c>
      <c r="F228" s="17">
        <f>IF($B228="",0,--(OR(任务!I209&lt;0,任务!I209&gt;100)))</f>
        <v>0</v>
      </c>
      <c r="G228" s="17">
        <f>IF($B228="",0,IF(ISNUMBER(SEARCH(",",任务!J209)),0,IF(任务!J209="",0,--(COUNTIF(任务!$A$2:$A$301,TRIM(任务!J209))=0))))</f>
        <v>0</v>
      </c>
      <c r="H228" s="17">
        <f>IF($B228="",0,--(NOT(ISNUMBER(任务!I209))))</f>
        <v>0</v>
      </c>
      <c r="I228" s="17">
        <f t="shared" si="7"/>
        <v>0</v>
      </c>
    </row>
    <row r="229" spans="1:9">
      <c r="A229" s="15">
        <f t="shared" si="6"/>
        <v>210</v>
      </c>
      <c r="B229" s="16" t="str">
        <f>IF(任务!A210="","",任务!A210)</f>
        <v/>
      </c>
      <c r="C229" s="17">
        <f>IF($B229="",0,--(COUNTIF(任务!$A$2:$A$301,$B229)&gt;1))</f>
        <v>0</v>
      </c>
      <c r="D229" s="17">
        <f>IF($B229="",0,--(OR(任务!B210="",任务!C210="",任务!E210="",任务!G210="",任务!H210="",NOT(ISNUMBER(任务!I210)))))</f>
        <v>0</v>
      </c>
      <c r="E229" s="17">
        <f>IF($B229="",0,--(AND(任务!G210&lt;&gt;"",任务!H210&lt;&gt;"",任务!G210&gt;任务!H210)))</f>
        <v>0</v>
      </c>
      <c r="F229" s="17">
        <f>IF($B229="",0,--(OR(任务!I210&lt;0,任务!I210&gt;100)))</f>
        <v>0</v>
      </c>
      <c r="G229" s="17">
        <f>IF($B229="",0,IF(ISNUMBER(SEARCH(",",任务!J210)),0,IF(任务!J210="",0,--(COUNTIF(任务!$A$2:$A$301,TRIM(任务!J210))=0))))</f>
        <v>0</v>
      </c>
      <c r="H229" s="17">
        <f>IF($B229="",0,--(NOT(ISNUMBER(任务!I210))))</f>
        <v>0</v>
      </c>
      <c r="I229" s="17">
        <f t="shared" si="7"/>
        <v>0</v>
      </c>
    </row>
    <row r="230" spans="1:9">
      <c r="A230" s="15">
        <f t="shared" si="6"/>
        <v>211</v>
      </c>
      <c r="B230" s="16" t="str">
        <f>IF(任务!A211="","",任务!A211)</f>
        <v/>
      </c>
      <c r="C230" s="17">
        <f>IF($B230="",0,--(COUNTIF(任务!$A$2:$A$301,$B230)&gt;1))</f>
        <v>0</v>
      </c>
      <c r="D230" s="17">
        <f>IF($B230="",0,--(OR(任务!B211="",任务!C211="",任务!E211="",任务!G211="",任务!H211="",NOT(ISNUMBER(任务!I211)))))</f>
        <v>0</v>
      </c>
      <c r="E230" s="17">
        <f>IF($B230="",0,--(AND(任务!G211&lt;&gt;"",任务!H211&lt;&gt;"",任务!G211&gt;任务!H211)))</f>
        <v>0</v>
      </c>
      <c r="F230" s="17">
        <f>IF($B230="",0,--(OR(任务!I211&lt;0,任务!I211&gt;100)))</f>
        <v>0</v>
      </c>
      <c r="G230" s="17">
        <f>IF($B230="",0,IF(ISNUMBER(SEARCH(",",任务!J211)),0,IF(任务!J211="",0,--(COUNTIF(任务!$A$2:$A$301,TRIM(任务!J211))=0))))</f>
        <v>0</v>
      </c>
      <c r="H230" s="17">
        <f>IF($B230="",0,--(NOT(ISNUMBER(任务!I211))))</f>
        <v>0</v>
      </c>
      <c r="I230" s="17">
        <f t="shared" si="7"/>
        <v>0</v>
      </c>
    </row>
    <row r="231" spans="1:9">
      <c r="A231" s="15">
        <f t="shared" si="6"/>
        <v>212</v>
      </c>
      <c r="B231" s="16" t="str">
        <f>IF(任务!A212="","",任务!A212)</f>
        <v/>
      </c>
      <c r="C231" s="17">
        <f>IF($B231="",0,--(COUNTIF(任务!$A$2:$A$301,$B231)&gt;1))</f>
        <v>0</v>
      </c>
      <c r="D231" s="17">
        <f>IF($B231="",0,--(OR(任务!B212="",任务!C212="",任务!E212="",任务!G212="",任务!H212="",NOT(ISNUMBER(任务!I212)))))</f>
        <v>0</v>
      </c>
      <c r="E231" s="17">
        <f>IF($B231="",0,--(AND(任务!G212&lt;&gt;"",任务!H212&lt;&gt;"",任务!G212&gt;任务!H212)))</f>
        <v>0</v>
      </c>
      <c r="F231" s="17">
        <f>IF($B231="",0,--(OR(任务!I212&lt;0,任务!I212&gt;100)))</f>
        <v>0</v>
      </c>
      <c r="G231" s="17">
        <f>IF($B231="",0,IF(ISNUMBER(SEARCH(",",任务!J212)),0,IF(任务!J212="",0,--(COUNTIF(任务!$A$2:$A$301,TRIM(任务!J212))=0))))</f>
        <v>0</v>
      </c>
      <c r="H231" s="17">
        <f>IF($B231="",0,--(NOT(ISNUMBER(任务!I212))))</f>
        <v>0</v>
      </c>
      <c r="I231" s="17">
        <f t="shared" si="7"/>
        <v>0</v>
      </c>
    </row>
    <row r="232" spans="1:9">
      <c r="A232" s="15">
        <f t="shared" si="6"/>
        <v>213</v>
      </c>
      <c r="B232" s="16" t="str">
        <f>IF(任务!A213="","",任务!A213)</f>
        <v/>
      </c>
      <c r="C232" s="17">
        <f>IF($B232="",0,--(COUNTIF(任务!$A$2:$A$301,$B232)&gt;1))</f>
        <v>0</v>
      </c>
      <c r="D232" s="17">
        <f>IF($B232="",0,--(OR(任务!B213="",任务!C213="",任务!E213="",任务!G213="",任务!H213="",NOT(ISNUMBER(任务!I213)))))</f>
        <v>0</v>
      </c>
      <c r="E232" s="17">
        <f>IF($B232="",0,--(AND(任务!G213&lt;&gt;"",任务!H213&lt;&gt;"",任务!G213&gt;任务!H213)))</f>
        <v>0</v>
      </c>
      <c r="F232" s="17">
        <f>IF($B232="",0,--(OR(任务!I213&lt;0,任务!I213&gt;100)))</f>
        <v>0</v>
      </c>
      <c r="G232" s="17">
        <f>IF($B232="",0,IF(ISNUMBER(SEARCH(",",任务!J213)),0,IF(任务!J213="",0,--(COUNTIF(任务!$A$2:$A$301,TRIM(任务!J213))=0))))</f>
        <v>0</v>
      </c>
      <c r="H232" s="17">
        <f>IF($B232="",0,--(NOT(ISNUMBER(任务!I213))))</f>
        <v>0</v>
      </c>
      <c r="I232" s="17">
        <f t="shared" si="7"/>
        <v>0</v>
      </c>
    </row>
    <row r="233" spans="1:9">
      <c r="A233" s="15">
        <f t="shared" si="6"/>
        <v>214</v>
      </c>
      <c r="B233" s="16" t="str">
        <f>IF(任务!A214="","",任务!A214)</f>
        <v/>
      </c>
      <c r="C233" s="17">
        <f>IF($B233="",0,--(COUNTIF(任务!$A$2:$A$301,$B233)&gt;1))</f>
        <v>0</v>
      </c>
      <c r="D233" s="17">
        <f>IF($B233="",0,--(OR(任务!B214="",任务!C214="",任务!E214="",任务!G214="",任务!H214="",NOT(ISNUMBER(任务!I214)))))</f>
        <v>0</v>
      </c>
      <c r="E233" s="17">
        <f>IF($B233="",0,--(AND(任务!G214&lt;&gt;"",任务!H214&lt;&gt;"",任务!G214&gt;任务!H214)))</f>
        <v>0</v>
      </c>
      <c r="F233" s="17">
        <f>IF($B233="",0,--(OR(任务!I214&lt;0,任务!I214&gt;100)))</f>
        <v>0</v>
      </c>
      <c r="G233" s="17">
        <f>IF($B233="",0,IF(ISNUMBER(SEARCH(",",任务!J214)),0,IF(任务!J214="",0,--(COUNTIF(任务!$A$2:$A$301,TRIM(任务!J214))=0))))</f>
        <v>0</v>
      </c>
      <c r="H233" s="17">
        <f>IF($B233="",0,--(NOT(ISNUMBER(任务!I214))))</f>
        <v>0</v>
      </c>
      <c r="I233" s="17">
        <f t="shared" si="7"/>
        <v>0</v>
      </c>
    </row>
    <row r="234" spans="1:9">
      <c r="A234" s="15">
        <f t="shared" si="6"/>
        <v>215</v>
      </c>
      <c r="B234" s="16" t="str">
        <f>IF(任务!A215="","",任务!A215)</f>
        <v/>
      </c>
      <c r="C234" s="17">
        <f>IF($B234="",0,--(COUNTIF(任务!$A$2:$A$301,$B234)&gt;1))</f>
        <v>0</v>
      </c>
      <c r="D234" s="17">
        <f>IF($B234="",0,--(OR(任务!B215="",任务!C215="",任务!E215="",任务!G215="",任务!H215="",NOT(ISNUMBER(任务!I215)))))</f>
        <v>0</v>
      </c>
      <c r="E234" s="17">
        <f>IF($B234="",0,--(AND(任务!G215&lt;&gt;"",任务!H215&lt;&gt;"",任务!G215&gt;任务!H215)))</f>
        <v>0</v>
      </c>
      <c r="F234" s="17">
        <f>IF($B234="",0,--(OR(任务!I215&lt;0,任务!I215&gt;100)))</f>
        <v>0</v>
      </c>
      <c r="G234" s="17">
        <f>IF($B234="",0,IF(ISNUMBER(SEARCH(",",任务!J215)),0,IF(任务!J215="",0,--(COUNTIF(任务!$A$2:$A$301,TRIM(任务!J215))=0))))</f>
        <v>0</v>
      </c>
      <c r="H234" s="17">
        <f>IF($B234="",0,--(NOT(ISNUMBER(任务!I215))))</f>
        <v>0</v>
      </c>
      <c r="I234" s="17">
        <f t="shared" si="7"/>
        <v>0</v>
      </c>
    </row>
    <row r="235" spans="1:9">
      <c r="A235" s="15">
        <f t="shared" si="6"/>
        <v>216</v>
      </c>
      <c r="B235" s="16" t="str">
        <f>IF(任务!A216="","",任务!A216)</f>
        <v/>
      </c>
      <c r="C235" s="17">
        <f>IF($B235="",0,--(COUNTIF(任务!$A$2:$A$301,$B235)&gt;1))</f>
        <v>0</v>
      </c>
      <c r="D235" s="17">
        <f>IF($B235="",0,--(OR(任务!B216="",任务!C216="",任务!E216="",任务!G216="",任务!H216="",NOT(ISNUMBER(任务!I216)))))</f>
        <v>0</v>
      </c>
      <c r="E235" s="17">
        <f>IF($B235="",0,--(AND(任务!G216&lt;&gt;"",任务!H216&lt;&gt;"",任务!G216&gt;任务!H216)))</f>
        <v>0</v>
      </c>
      <c r="F235" s="17">
        <f>IF($B235="",0,--(OR(任务!I216&lt;0,任务!I216&gt;100)))</f>
        <v>0</v>
      </c>
      <c r="G235" s="17">
        <f>IF($B235="",0,IF(ISNUMBER(SEARCH(",",任务!J216)),0,IF(任务!J216="",0,--(COUNTIF(任务!$A$2:$A$301,TRIM(任务!J216))=0))))</f>
        <v>0</v>
      </c>
      <c r="H235" s="17">
        <f>IF($B235="",0,--(NOT(ISNUMBER(任务!I216))))</f>
        <v>0</v>
      </c>
      <c r="I235" s="17">
        <f t="shared" si="7"/>
        <v>0</v>
      </c>
    </row>
    <row r="236" spans="1:9">
      <c r="A236" s="15">
        <f t="shared" si="6"/>
        <v>217</v>
      </c>
      <c r="B236" s="16" t="str">
        <f>IF(任务!A217="","",任务!A217)</f>
        <v/>
      </c>
      <c r="C236" s="17">
        <f>IF($B236="",0,--(COUNTIF(任务!$A$2:$A$301,$B236)&gt;1))</f>
        <v>0</v>
      </c>
      <c r="D236" s="17">
        <f>IF($B236="",0,--(OR(任务!B217="",任务!C217="",任务!E217="",任务!G217="",任务!H217="",NOT(ISNUMBER(任务!I217)))))</f>
        <v>0</v>
      </c>
      <c r="E236" s="17">
        <f>IF($B236="",0,--(AND(任务!G217&lt;&gt;"",任务!H217&lt;&gt;"",任务!G217&gt;任务!H217)))</f>
        <v>0</v>
      </c>
      <c r="F236" s="17">
        <f>IF($B236="",0,--(OR(任务!I217&lt;0,任务!I217&gt;100)))</f>
        <v>0</v>
      </c>
      <c r="G236" s="17">
        <f>IF($B236="",0,IF(ISNUMBER(SEARCH(",",任务!J217)),0,IF(任务!J217="",0,--(COUNTIF(任务!$A$2:$A$301,TRIM(任务!J217))=0))))</f>
        <v>0</v>
      </c>
      <c r="H236" s="17">
        <f>IF($B236="",0,--(NOT(ISNUMBER(任务!I217))))</f>
        <v>0</v>
      </c>
      <c r="I236" s="17">
        <f t="shared" si="7"/>
        <v>0</v>
      </c>
    </row>
    <row r="237" spans="1:9">
      <c r="A237" s="15">
        <f t="shared" si="6"/>
        <v>218</v>
      </c>
      <c r="B237" s="16" t="str">
        <f>IF(任务!A218="","",任务!A218)</f>
        <v/>
      </c>
      <c r="C237" s="17">
        <f>IF($B237="",0,--(COUNTIF(任务!$A$2:$A$301,$B237)&gt;1))</f>
        <v>0</v>
      </c>
      <c r="D237" s="17">
        <f>IF($B237="",0,--(OR(任务!B218="",任务!C218="",任务!E218="",任务!G218="",任务!H218="",NOT(ISNUMBER(任务!I218)))))</f>
        <v>0</v>
      </c>
      <c r="E237" s="17">
        <f>IF($B237="",0,--(AND(任务!G218&lt;&gt;"",任务!H218&lt;&gt;"",任务!G218&gt;任务!H218)))</f>
        <v>0</v>
      </c>
      <c r="F237" s="17">
        <f>IF($B237="",0,--(OR(任务!I218&lt;0,任务!I218&gt;100)))</f>
        <v>0</v>
      </c>
      <c r="G237" s="17">
        <f>IF($B237="",0,IF(ISNUMBER(SEARCH(",",任务!J218)),0,IF(任务!J218="",0,--(COUNTIF(任务!$A$2:$A$301,TRIM(任务!J218))=0))))</f>
        <v>0</v>
      </c>
      <c r="H237" s="17">
        <f>IF($B237="",0,--(NOT(ISNUMBER(任务!I218))))</f>
        <v>0</v>
      </c>
      <c r="I237" s="17">
        <f t="shared" si="7"/>
        <v>0</v>
      </c>
    </row>
    <row r="238" spans="1:9">
      <c r="A238" s="15">
        <f t="shared" si="6"/>
        <v>219</v>
      </c>
      <c r="B238" s="16" t="str">
        <f>IF(任务!A219="","",任务!A219)</f>
        <v/>
      </c>
      <c r="C238" s="17">
        <f>IF($B238="",0,--(COUNTIF(任务!$A$2:$A$301,$B238)&gt;1))</f>
        <v>0</v>
      </c>
      <c r="D238" s="17">
        <f>IF($B238="",0,--(OR(任务!B219="",任务!C219="",任务!E219="",任务!G219="",任务!H219="",NOT(ISNUMBER(任务!I219)))))</f>
        <v>0</v>
      </c>
      <c r="E238" s="17">
        <f>IF($B238="",0,--(AND(任务!G219&lt;&gt;"",任务!H219&lt;&gt;"",任务!G219&gt;任务!H219)))</f>
        <v>0</v>
      </c>
      <c r="F238" s="17">
        <f>IF($B238="",0,--(OR(任务!I219&lt;0,任务!I219&gt;100)))</f>
        <v>0</v>
      </c>
      <c r="G238" s="17">
        <f>IF($B238="",0,IF(ISNUMBER(SEARCH(",",任务!J219)),0,IF(任务!J219="",0,--(COUNTIF(任务!$A$2:$A$301,TRIM(任务!J219))=0))))</f>
        <v>0</v>
      </c>
      <c r="H238" s="17">
        <f>IF($B238="",0,--(NOT(ISNUMBER(任务!I219))))</f>
        <v>0</v>
      </c>
      <c r="I238" s="17">
        <f t="shared" si="7"/>
        <v>0</v>
      </c>
    </row>
    <row r="239" spans="1:9">
      <c r="A239" s="15">
        <f t="shared" si="6"/>
        <v>220</v>
      </c>
      <c r="B239" s="16" t="str">
        <f>IF(任务!A220="","",任务!A220)</f>
        <v/>
      </c>
      <c r="C239" s="17">
        <f>IF($B239="",0,--(COUNTIF(任务!$A$2:$A$301,$B239)&gt;1))</f>
        <v>0</v>
      </c>
      <c r="D239" s="17">
        <f>IF($B239="",0,--(OR(任务!B220="",任务!C220="",任务!E220="",任务!G220="",任务!H220="",NOT(ISNUMBER(任务!I220)))))</f>
        <v>0</v>
      </c>
      <c r="E239" s="17">
        <f>IF($B239="",0,--(AND(任务!G220&lt;&gt;"",任务!H220&lt;&gt;"",任务!G220&gt;任务!H220)))</f>
        <v>0</v>
      </c>
      <c r="F239" s="17">
        <f>IF($B239="",0,--(OR(任务!I220&lt;0,任务!I220&gt;100)))</f>
        <v>0</v>
      </c>
      <c r="G239" s="17">
        <f>IF($B239="",0,IF(ISNUMBER(SEARCH(",",任务!J220)),0,IF(任务!J220="",0,--(COUNTIF(任务!$A$2:$A$301,TRIM(任务!J220))=0))))</f>
        <v>0</v>
      </c>
      <c r="H239" s="17">
        <f>IF($B239="",0,--(NOT(ISNUMBER(任务!I220))))</f>
        <v>0</v>
      </c>
      <c r="I239" s="17">
        <f t="shared" si="7"/>
        <v>0</v>
      </c>
    </row>
    <row r="240" spans="1:9">
      <c r="A240" s="15">
        <f t="shared" si="6"/>
        <v>221</v>
      </c>
      <c r="B240" s="16" t="str">
        <f>IF(任务!A221="","",任务!A221)</f>
        <v/>
      </c>
      <c r="C240" s="17">
        <f>IF($B240="",0,--(COUNTIF(任务!$A$2:$A$301,$B240)&gt;1))</f>
        <v>0</v>
      </c>
      <c r="D240" s="17">
        <f>IF($B240="",0,--(OR(任务!B221="",任务!C221="",任务!E221="",任务!G221="",任务!H221="",NOT(ISNUMBER(任务!I221)))))</f>
        <v>0</v>
      </c>
      <c r="E240" s="17">
        <f>IF($B240="",0,--(AND(任务!G221&lt;&gt;"",任务!H221&lt;&gt;"",任务!G221&gt;任务!H221)))</f>
        <v>0</v>
      </c>
      <c r="F240" s="17">
        <f>IF($B240="",0,--(OR(任务!I221&lt;0,任务!I221&gt;100)))</f>
        <v>0</v>
      </c>
      <c r="G240" s="17">
        <f>IF($B240="",0,IF(ISNUMBER(SEARCH(",",任务!J221)),0,IF(任务!J221="",0,--(COUNTIF(任务!$A$2:$A$301,TRIM(任务!J221))=0))))</f>
        <v>0</v>
      </c>
      <c r="H240" s="17">
        <f>IF($B240="",0,--(NOT(ISNUMBER(任务!I221))))</f>
        <v>0</v>
      </c>
      <c r="I240" s="17">
        <f t="shared" si="7"/>
        <v>0</v>
      </c>
    </row>
    <row r="241" spans="1:9">
      <c r="A241" s="15">
        <f t="shared" si="6"/>
        <v>222</v>
      </c>
      <c r="B241" s="16" t="str">
        <f>IF(任务!A222="","",任务!A222)</f>
        <v/>
      </c>
      <c r="C241" s="17">
        <f>IF($B241="",0,--(COUNTIF(任务!$A$2:$A$301,$B241)&gt;1))</f>
        <v>0</v>
      </c>
      <c r="D241" s="17">
        <f>IF($B241="",0,--(OR(任务!B222="",任务!C222="",任务!E222="",任务!G222="",任务!H222="",NOT(ISNUMBER(任务!I222)))))</f>
        <v>0</v>
      </c>
      <c r="E241" s="17">
        <f>IF($B241="",0,--(AND(任务!G222&lt;&gt;"",任务!H222&lt;&gt;"",任务!G222&gt;任务!H222)))</f>
        <v>0</v>
      </c>
      <c r="F241" s="17">
        <f>IF($B241="",0,--(OR(任务!I222&lt;0,任务!I222&gt;100)))</f>
        <v>0</v>
      </c>
      <c r="G241" s="17">
        <f>IF($B241="",0,IF(ISNUMBER(SEARCH(",",任务!J222)),0,IF(任务!J222="",0,--(COUNTIF(任务!$A$2:$A$301,TRIM(任务!J222))=0))))</f>
        <v>0</v>
      </c>
      <c r="H241" s="17">
        <f>IF($B241="",0,--(NOT(ISNUMBER(任务!I222))))</f>
        <v>0</v>
      </c>
      <c r="I241" s="17">
        <f t="shared" si="7"/>
        <v>0</v>
      </c>
    </row>
    <row r="242" spans="1:9">
      <c r="A242" s="15">
        <f t="shared" si="6"/>
        <v>223</v>
      </c>
      <c r="B242" s="16" t="str">
        <f>IF(任务!A223="","",任务!A223)</f>
        <v/>
      </c>
      <c r="C242" s="17">
        <f>IF($B242="",0,--(COUNTIF(任务!$A$2:$A$301,$B242)&gt;1))</f>
        <v>0</v>
      </c>
      <c r="D242" s="17">
        <f>IF($B242="",0,--(OR(任务!B223="",任务!C223="",任务!E223="",任务!G223="",任务!H223="",NOT(ISNUMBER(任务!I223)))))</f>
        <v>0</v>
      </c>
      <c r="E242" s="17">
        <f>IF($B242="",0,--(AND(任务!G223&lt;&gt;"",任务!H223&lt;&gt;"",任务!G223&gt;任务!H223)))</f>
        <v>0</v>
      </c>
      <c r="F242" s="17">
        <f>IF($B242="",0,--(OR(任务!I223&lt;0,任务!I223&gt;100)))</f>
        <v>0</v>
      </c>
      <c r="G242" s="17">
        <f>IF($B242="",0,IF(ISNUMBER(SEARCH(",",任务!J223)),0,IF(任务!J223="",0,--(COUNTIF(任务!$A$2:$A$301,TRIM(任务!J223))=0))))</f>
        <v>0</v>
      </c>
      <c r="H242" s="17">
        <f>IF($B242="",0,--(NOT(ISNUMBER(任务!I223))))</f>
        <v>0</v>
      </c>
      <c r="I242" s="17">
        <f t="shared" si="7"/>
        <v>0</v>
      </c>
    </row>
    <row r="243" spans="1:9">
      <c r="A243" s="15">
        <f t="shared" si="6"/>
        <v>224</v>
      </c>
      <c r="B243" s="16" t="str">
        <f>IF(任务!A224="","",任务!A224)</f>
        <v/>
      </c>
      <c r="C243" s="17">
        <f>IF($B243="",0,--(COUNTIF(任务!$A$2:$A$301,$B243)&gt;1))</f>
        <v>0</v>
      </c>
      <c r="D243" s="17">
        <f>IF($B243="",0,--(OR(任务!B224="",任务!C224="",任务!E224="",任务!G224="",任务!H224="",NOT(ISNUMBER(任务!I224)))))</f>
        <v>0</v>
      </c>
      <c r="E243" s="17">
        <f>IF($B243="",0,--(AND(任务!G224&lt;&gt;"",任务!H224&lt;&gt;"",任务!G224&gt;任务!H224)))</f>
        <v>0</v>
      </c>
      <c r="F243" s="17">
        <f>IF($B243="",0,--(OR(任务!I224&lt;0,任务!I224&gt;100)))</f>
        <v>0</v>
      </c>
      <c r="G243" s="17">
        <f>IF($B243="",0,IF(ISNUMBER(SEARCH(",",任务!J224)),0,IF(任务!J224="",0,--(COUNTIF(任务!$A$2:$A$301,TRIM(任务!J224))=0))))</f>
        <v>0</v>
      </c>
      <c r="H243" s="17">
        <f>IF($B243="",0,--(NOT(ISNUMBER(任务!I224))))</f>
        <v>0</v>
      </c>
      <c r="I243" s="17">
        <f t="shared" si="7"/>
        <v>0</v>
      </c>
    </row>
    <row r="244" spans="1:9">
      <c r="A244" s="15">
        <f t="shared" si="6"/>
        <v>225</v>
      </c>
      <c r="B244" s="16" t="str">
        <f>IF(任务!A225="","",任务!A225)</f>
        <v/>
      </c>
      <c r="C244" s="17">
        <f>IF($B244="",0,--(COUNTIF(任务!$A$2:$A$301,$B244)&gt;1))</f>
        <v>0</v>
      </c>
      <c r="D244" s="17">
        <f>IF($B244="",0,--(OR(任务!B225="",任务!C225="",任务!E225="",任务!G225="",任务!H225="",NOT(ISNUMBER(任务!I225)))))</f>
        <v>0</v>
      </c>
      <c r="E244" s="17">
        <f>IF($B244="",0,--(AND(任务!G225&lt;&gt;"",任务!H225&lt;&gt;"",任务!G225&gt;任务!H225)))</f>
        <v>0</v>
      </c>
      <c r="F244" s="17">
        <f>IF($B244="",0,--(OR(任务!I225&lt;0,任务!I225&gt;100)))</f>
        <v>0</v>
      </c>
      <c r="G244" s="17">
        <f>IF($B244="",0,IF(ISNUMBER(SEARCH(",",任务!J225)),0,IF(任务!J225="",0,--(COUNTIF(任务!$A$2:$A$301,TRIM(任务!J225))=0))))</f>
        <v>0</v>
      </c>
      <c r="H244" s="17">
        <f>IF($B244="",0,--(NOT(ISNUMBER(任务!I225))))</f>
        <v>0</v>
      </c>
      <c r="I244" s="17">
        <f t="shared" si="7"/>
        <v>0</v>
      </c>
    </row>
    <row r="245" spans="1:9">
      <c r="A245" s="15">
        <f t="shared" si="6"/>
        <v>226</v>
      </c>
      <c r="B245" s="16" t="str">
        <f>IF(任务!A226="","",任务!A226)</f>
        <v/>
      </c>
      <c r="C245" s="17">
        <f>IF($B245="",0,--(COUNTIF(任务!$A$2:$A$301,$B245)&gt;1))</f>
        <v>0</v>
      </c>
      <c r="D245" s="17">
        <f>IF($B245="",0,--(OR(任务!B226="",任务!C226="",任务!E226="",任务!G226="",任务!H226="",NOT(ISNUMBER(任务!I226)))))</f>
        <v>0</v>
      </c>
      <c r="E245" s="17">
        <f>IF($B245="",0,--(AND(任务!G226&lt;&gt;"",任务!H226&lt;&gt;"",任务!G226&gt;任务!H226)))</f>
        <v>0</v>
      </c>
      <c r="F245" s="17">
        <f>IF($B245="",0,--(OR(任务!I226&lt;0,任务!I226&gt;100)))</f>
        <v>0</v>
      </c>
      <c r="G245" s="17">
        <f>IF($B245="",0,IF(ISNUMBER(SEARCH(",",任务!J226)),0,IF(任务!J226="",0,--(COUNTIF(任务!$A$2:$A$301,TRIM(任务!J226))=0))))</f>
        <v>0</v>
      </c>
      <c r="H245" s="17">
        <f>IF($B245="",0,--(NOT(ISNUMBER(任务!I226))))</f>
        <v>0</v>
      </c>
      <c r="I245" s="17">
        <f t="shared" si="7"/>
        <v>0</v>
      </c>
    </row>
    <row r="246" spans="1:9">
      <c r="A246" s="15">
        <f t="shared" si="6"/>
        <v>227</v>
      </c>
      <c r="B246" s="16" t="str">
        <f>IF(任务!A227="","",任务!A227)</f>
        <v/>
      </c>
      <c r="C246" s="17">
        <f>IF($B246="",0,--(COUNTIF(任务!$A$2:$A$301,$B246)&gt;1))</f>
        <v>0</v>
      </c>
      <c r="D246" s="17">
        <f>IF($B246="",0,--(OR(任务!B227="",任务!C227="",任务!E227="",任务!G227="",任务!H227="",NOT(ISNUMBER(任务!I227)))))</f>
        <v>0</v>
      </c>
      <c r="E246" s="17">
        <f>IF($B246="",0,--(AND(任务!G227&lt;&gt;"",任务!H227&lt;&gt;"",任务!G227&gt;任务!H227)))</f>
        <v>0</v>
      </c>
      <c r="F246" s="17">
        <f>IF($B246="",0,--(OR(任务!I227&lt;0,任务!I227&gt;100)))</f>
        <v>0</v>
      </c>
      <c r="G246" s="17">
        <f>IF($B246="",0,IF(ISNUMBER(SEARCH(",",任务!J227)),0,IF(任务!J227="",0,--(COUNTIF(任务!$A$2:$A$301,TRIM(任务!J227))=0))))</f>
        <v>0</v>
      </c>
      <c r="H246" s="17">
        <f>IF($B246="",0,--(NOT(ISNUMBER(任务!I227))))</f>
        <v>0</v>
      </c>
      <c r="I246" s="17">
        <f t="shared" si="7"/>
        <v>0</v>
      </c>
    </row>
    <row r="247" spans="1:9">
      <c r="A247" s="15">
        <f t="shared" si="6"/>
        <v>228</v>
      </c>
      <c r="B247" s="16" t="str">
        <f>IF(任务!A228="","",任务!A228)</f>
        <v/>
      </c>
      <c r="C247" s="17">
        <f>IF($B247="",0,--(COUNTIF(任务!$A$2:$A$301,$B247)&gt;1))</f>
        <v>0</v>
      </c>
      <c r="D247" s="17">
        <f>IF($B247="",0,--(OR(任务!B228="",任务!C228="",任务!E228="",任务!G228="",任务!H228="",NOT(ISNUMBER(任务!I228)))))</f>
        <v>0</v>
      </c>
      <c r="E247" s="17">
        <f>IF($B247="",0,--(AND(任务!G228&lt;&gt;"",任务!H228&lt;&gt;"",任务!G228&gt;任务!H228)))</f>
        <v>0</v>
      </c>
      <c r="F247" s="17">
        <f>IF($B247="",0,--(OR(任务!I228&lt;0,任务!I228&gt;100)))</f>
        <v>0</v>
      </c>
      <c r="G247" s="17">
        <f>IF($B247="",0,IF(ISNUMBER(SEARCH(",",任务!J228)),0,IF(任务!J228="",0,--(COUNTIF(任务!$A$2:$A$301,TRIM(任务!J228))=0))))</f>
        <v>0</v>
      </c>
      <c r="H247" s="17">
        <f>IF($B247="",0,--(NOT(ISNUMBER(任务!I228))))</f>
        <v>0</v>
      </c>
      <c r="I247" s="17">
        <f t="shared" si="7"/>
        <v>0</v>
      </c>
    </row>
    <row r="248" spans="1:9">
      <c r="A248" s="15">
        <f t="shared" si="6"/>
        <v>229</v>
      </c>
      <c r="B248" s="16" t="str">
        <f>IF(任务!A229="","",任务!A229)</f>
        <v/>
      </c>
      <c r="C248" s="17">
        <f>IF($B248="",0,--(COUNTIF(任务!$A$2:$A$301,$B248)&gt;1))</f>
        <v>0</v>
      </c>
      <c r="D248" s="17">
        <f>IF($B248="",0,--(OR(任务!B229="",任务!C229="",任务!E229="",任务!G229="",任务!H229="",NOT(ISNUMBER(任务!I229)))))</f>
        <v>0</v>
      </c>
      <c r="E248" s="17">
        <f>IF($B248="",0,--(AND(任务!G229&lt;&gt;"",任务!H229&lt;&gt;"",任务!G229&gt;任务!H229)))</f>
        <v>0</v>
      </c>
      <c r="F248" s="17">
        <f>IF($B248="",0,--(OR(任务!I229&lt;0,任务!I229&gt;100)))</f>
        <v>0</v>
      </c>
      <c r="G248" s="17">
        <f>IF($B248="",0,IF(ISNUMBER(SEARCH(",",任务!J229)),0,IF(任务!J229="",0,--(COUNTIF(任务!$A$2:$A$301,TRIM(任务!J229))=0))))</f>
        <v>0</v>
      </c>
      <c r="H248" s="17">
        <f>IF($B248="",0,--(NOT(ISNUMBER(任务!I229))))</f>
        <v>0</v>
      </c>
      <c r="I248" s="17">
        <f t="shared" si="7"/>
        <v>0</v>
      </c>
    </row>
    <row r="249" spans="1:9">
      <c r="A249" s="15">
        <f t="shared" si="6"/>
        <v>230</v>
      </c>
      <c r="B249" s="16" t="str">
        <f>IF(任务!A230="","",任务!A230)</f>
        <v/>
      </c>
      <c r="C249" s="17">
        <f>IF($B249="",0,--(COUNTIF(任务!$A$2:$A$301,$B249)&gt;1))</f>
        <v>0</v>
      </c>
      <c r="D249" s="17">
        <f>IF($B249="",0,--(OR(任务!B230="",任务!C230="",任务!E230="",任务!G230="",任务!H230="",NOT(ISNUMBER(任务!I230)))))</f>
        <v>0</v>
      </c>
      <c r="E249" s="17">
        <f>IF($B249="",0,--(AND(任务!G230&lt;&gt;"",任务!H230&lt;&gt;"",任务!G230&gt;任务!H230)))</f>
        <v>0</v>
      </c>
      <c r="F249" s="17">
        <f>IF($B249="",0,--(OR(任务!I230&lt;0,任务!I230&gt;100)))</f>
        <v>0</v>
      </c>
      <c r="G249" s="17">
        <f>IF($B249="",0,IF(ISNUMBER(SEARCH(",",任务!J230)),0,IF(任务!J230="",0,--(COUNTIF(任务!$A$2:$A$301,TRIM(任务!J230))=0))))</f>
        <v>0</v>
      </c>
      <c r="H249" s="17">
        <f>IF($B249="",0,--(NOT(ISNUMBER(任务!I230))))</f>
        <v>0</v>
      </c>
      <c r="I249" s="17">
        <f t="shared" si="7"/>
        <v>0</v>
      </c>
    </row>
    <row r="250" spans="1:9">
      <c r="A250" s="15">
        <f t="shared" si="6"/>
        <v>231</v>
      </c>
      <c r="B250" s="16" t="str">
        <f>IF(任务!A231="","",任务!A231)</f>
        <v/>
      </c>
      <c r="C250" s="17">
        <f>IF($B250="",0,--(COUNTIF(任务!$A$2:$A$301,$B250)&gt;1))</f>
        <v>0</v>
      </c>
      <c r="D250" s="17">
        <f>IF($B250="",0,--(OR(任务!B231="",任务!C231="",任务!E231="",任务!G231="",任务!H231="",NOT(ISNUMBER(任务!I231)))))</f>
        <v>0</v>
      </c>
      <c r="E250" s="17">
        <f>IF($B250="",0,--(AND(任务!G231&lt;&gt;"",任务!H231&lt;&gt;"",任务!G231&gt;任务!H231)))</f>
        <v>0</v>
      </c>
      <c r="F250" s="17">
        <f>IF($B250="",0,--(OR(任务!I231&lt;0,任务!I231&gt;100)))</f>
        <v>0</v>
      </c>
      <c r="G250" s="17">
        <f>IF($B250="",0,IF(ISNUMBER(SEARCH(",",任务!J231)),0,IF(任务!J231="",0,--(COUNTIF(任务!$A$2:$A$301,TRIM(任务!J231))=0))))</f>
        <v>0</v>
      </c>
      <c r="H250" s="17">
        <f>IF($B250="",0,--(NOT(ISNUMBER(任务!I231))))</f>
        <v>0</v>
      </c>
      <c r="I250" s="17">
        <f t="shared" si="7"/>
        <v>0</v>
      </c>
    </row>
    <row r="251" spans="1:9">
      <c r="A251" s="15">
        <f t="shared" si="6"/>
        <v>232</v>
      </c>
      <c r="B251" s="16" t="str">
        <f>IF(任务!A232="","",任务!A232)</f>
        <v/>
      </c>
      <c r="C251" s="17">
        <f>IF($B251="",0,--(COUNTIF(任务!$A$2:$A$301,$B251)&gt;1))</f>
        <v>0</v>
      </c>
      <c r="D251" s="17">
        <f>IF($B251="",0,--(OR(任务!B232="",任务!C232="",任务!E232="",任务!G232="",任务!H232="",NOT(ISNUMBER(任务!I232)))))</f>
        <v>0</v>
      </c>
      <c r="E251" s="17">
        <f>IF($B251="",0,--(AND(任务!G232&lt;&gt;"",任务!H232&lt;&gt;"",任务!G232&gt;任务!H232)))</f>
        <v>0</v>
      </c>
      <c r="F251" s="17">
        <f>IF($B251="",0,--(OR(任务!I232&lt;0,任务!I232&gt;100)))</f>
        <v>0</v>
      </c>
      <c r="G251" s="17">
        <f>IF($B251="",0,IF(ISNUMBER(SEARCH(",",任务!J232)),0,IF(任务!J232="",0,--(COUNTIF(任务!$A$2:$A$301,TRIM(任务!J232))=0))))</f>
        <v>0</v>
      </c>
      <c r="H251" s="17">
        <f>IF($B251="",0,--(NOT(ISNUMBER(任务!I232))))</f>
        <v>0</v>
      </c>
      <c r="I251" s="17">
        <f t="shared" si="7"/>
        <v>0</v>
      </c>
    </row>
    <row r="252" spans="1:9">
      <c r="A252" s="15">
        <f t="shared" si="6"/>
        <v>233</v>
      </c>
      <c r="B252" s="16" t="str">
        <f>IF(任务!A233="","",任务!A233)</f>
        <v/>
      </c>
      <c r="C252" s="17">
        <f>IF($B252="",0,--(COUNTIF(任务!$A$2:$A$301,$B252)&gt;1))</f>
        <v>0</v>
      </c>
      <c r="D252" s="17">
        <f>IF($B252="",0,--(OR(任务!B233="",任务!C233="",任务!E233="",任务!G233="",任务!H233="",NOT(ISNUMBER(任务!I233)))))</f>
        <v>0</v>
      </c>
      <c r="E252" s="17">
        <f>IF($B252="",0,--(AND(任务!G233&lt;&gt;"",任务!H233&lt;&gt;"",任务!G233&gt;任务!H233)))</f>
        <v>0</v>
      </c>
      <c r="F252" s="17">
        <f>IF($B252="",0,--(OR(任务!I233&lt;0,任务!I233&gt;100)))</f>
        <v>0</v>
      </c>
      <c r="G252" s="17">
        <f>IF($B252="",0,IF(ISNUMBER(SEARCH(",",任务!J233)),0,IF(任务!J233="",0,--(COUNTIF(任务!$A$2:$A$301,TRIM(任务!J233))=0))))</f>
        <v>0</v>
      </c>
      <c r="H252" s="17">
        <f>IF($B252="",0,--(NOT(ISNUMBER(任务!I233))))</f>
        <v>0</v>
      </c>
      <c r="I252" s="17">
        <f t="shared" si="7"/>
        <v>0</v>
      </c>
    </row>
    <row r="253" spans="1:9">
      <c r="A253" s="15">
        <f t="shared" si="6"/>
        <v>234</v>
      </c>
      <c r="B253" s="16" t="str">
        <f>IF(任务!A234="","",任务!A234)</f>
        <v/>
      </c>
      <c r="C253" s="17">
        <f>IF($B253="",0,--(COUNTIF(任务!$A$2:$A$301,$B253)&gt;1))</f>
        <v>0</v>
      </c>
      <c r="D253" s="17">
        <f>IF($B253="",0,--(OR(任务!B234="",任务!C234="",任务!E234="",任务!G234="",任务!H234="",NOT(ISNUMBER(任务!I234)))))</f>
        <v>0</v>
      </c>
      <c r="E253" s="17">
        <f>IF($B253="",0,--(AND(任务!G234&lt;&gt;"",任务!H234&lt;&gt;"",任务!G234&gt;任务!H234)))</f>
        <v>0</v>
      </c>
      <c r="F253" s="17">
        <f>IF($B253="",0,--(OR(任务!I234&lt;0,任务!I234&gt;100)))</f>
        <v>0</v>
      </c>
      <c r="G253" s="17">
        <f>IF($B253="",0,IF(ISNUMBER(SEARCH(",",任务!J234)),0,IF(任务!J234="",0,--(COUNTIF(任务!$A$2:$A$301,TRIM(任务!J234))=0))))</f>
        <v>0</v>
      </c>
      <c r="H253" s="17">
        <f>IF($B253="",0,--(NOT(ISNUMBER(任务!I234))))</f>
        <v>0</v>
      </c>
      <c r="I253" s="17">
        <f t="shared" si="7"/>
        <v>0</v>
      </c>
    </row>
    <row r="254" spans="1:9">
      <c r="A254" s="15">
        <f t="shared" si="6"/>
        <v>235</v>
      </c>
      <c r="B254" s="16" t="str">
        <f>IF(任务!A235="","",任务!A235)</f>
        <v/>
      </c>
      <c r="C254" s="17">
        <f>IF($B254="",0,--(COUNTIF(任务!$A$2:$A$301,$B254)&gt;1))</f>
        <v>0</v>
      </c>
      <c r="D254" s="17">
        <f>IF($B254="",0,--(OR(任务!B235="",任务!C235="",任务!E235="",任务!G235="",任务!H235="",NOT(ISNUMBER(任务!I235)))))</f>
        <v>0</v>
      </c>
      <c r="E254" s="17">
        <f>IF($B254="",0,--(AND(任务!G235&lt;&gt;"",任务!H235&lt;&gt;"",任务!G235&gt;任务!H235)))</f>
        <v>0</v>
      </c>
      <c r="F254" s="17">
        <f>IF($B254="",0,--(OR(任务!I235&lt;0,任务!I235&gt;100)))</f>
        <v>0</v>
      </c>
      <c r="G254" s="17">
        <f>IF($B254="",0,IF(ISNUMBER(SEARCH(",",任务!J235)),0,IF(任务!J235="",0,--(COUNTIF(任务!$A$2:$A$301,TRIM(任务!J235))=0))))</f>
        <v>0</v>
      </c>
      <c r="H254" s="17">
        <f>IF($B254="",0,--(NOT(ISNUMBER(任务!I235))))</f>
        <v>0</v>
      </c>
      <c r="I254" s="17">
        <f t="shared" si="7"/>
        <v>0</v>
      </c>
    </row>
    <row r="255" spans="1:9">
      <c r="A255" s="15">
        <f t="shared" si="6"/>
        <v>236</v>
      </c>
      <c r="B255" s="16" t="str">
        <f>IF(任务!A236="","",任务!A236)</f>
        <v/>
      </c>
      <c r="C255" s="17">
        <f>IF($B255="",0,--(COUNTIF(任务!$A$2:$A$301,$B255)&gt;1))</f>
        <v>0</v>
      </c>
      <c r="D255" s="17">
        <f>IF($B255="",0,--(OR(任务!B236="",任务!C236="",任务!E236="",任务!G236="",任务!H236="",NOT(ISNUMBER(任务!I236)))))</f>
        <v>0</v>
      </c>
      <c r="E255" s="17">
        <f>IF($B255="",0,--(AND(任务!G236&lt;&gt;"",任务!H236&lt;&gt;"",任务!G236&gt;任务!H236)))</f>
        <v>0</v>
      </c>
      <c r="F255" s="17">
        <f>IF($B255="",0,--(OR(任务!I236&lt;0,任务!I236&gt;100)))</f>
        <v>0</v>
      </c>
      <c r="G255" s="17">
        <f>IF($B255="",0,IF(ISNUMBER(SEARCH(",",任务!J236)),0,IF(任务!J236="",0,--(COUNTIF(任务!$A$2:$A$301,TRIM(任务!J236))=0))))</f>
        <v>0</v>
      </c>
      <c r="H255" s="17">
        <f>IF($B255="",0,--(NOT(ISNUMBER(任务!I236))))</f>
        <v>0</v>
      </c>
      <c r="I255" s="17">
        <f t="shared" si="7"/>
        <v>0</v>
      </c>
    </row>
    <row r="256" spans="1:9">
      <c r="A256" s="15">
        <f t="shared" si="6"/>
        <v>237</v>
      </c>
      <c r="B256" s="16" t="str">
        <f>IF(任务!A237="","",任务!A237)</f>
        <v/>
      </c>
      <c r="C256" s="17">
        <f>IF($B256="",0,--(COUNTIF(任务!$A$2:$A$301,$B256)&gt;1))</f>
        <v>0</v>
      </c>
      <c r="D256" s="17">
        <f>IF($B256="",0,--(OR(任务!B237="",任务!C237="",任务!E237="",任务!G237="",任务!H237="",NOT(ISNUMBER(任务!I237)))))</f>
        <v>0</v>
      </c>
      <c r="E256" s="17">
        <f>IF($B256="",0,--(AND(任务!G237&lt;&gt;"",任务!H237&lt;&gt;"",任务!G237&gt;任务!H237)))</f>
        <v>0</v>
      </c>
      <c r="F256" s="17">
        <f>IF($B256="",0,--(OR(任务!I237&lt;0,任务!I237&gt;100)))</f>
        <v>0</v>
      </c>
      <c r="G256" s="17">
        <f>IF($B256="",0,IF(ISNUMBER(SEARCH(",",任务!J237)),0,IF(任务!J237="",0,--(COUNTIF(任务!$A$2:$A$301,TRIM(任务!J237))=0))))</f>
        <v>0</v>
      </c>
      <c r="H256" s="17">
        <f>IF($B256="",0,--(NOT(ISNUMBER(任务!I237))))</f>
        <v>0</v>
      </c>
      <c r="I256" s="17">
        <f t="shared" si="7"/>
        <v>0</v>
      </c>
    </row>
    <row r="257" spans="1:9">
      <c r="A257" s="15">
        <f t="shared" si="6"/>
        <v>238</v>
      </c>
      <c r="B257" s="16" t="str">
        <f>IF(任务!A238="","",任务!A238)</f>
        <v/>
      </c>
      <c r="C257" s="17">
        <f>IF($B257="",0,--(COUNTIF(任务!$A$2:$A$301,$B257)&gt;1))</f>
        <v>0</v>
      </c>
      <c r="D257" s="17">
        <f>IF($B257="",0,--(OR(任务!B238="",任务!C238="",任务!E238="",任务!G238="",任务!H238="",NOT(ISNUMBER(任务!I238)))))</f>
        <v>0</v>
      </c>
      <c r="E257" s="17">
        <f>IF($B257="",0,--(AND(任务!G238&lt;&gt;"",任务!H238&lt;&gt;"",任务!G238&gt;任务!H238)))</f>
        <v>0</v>
      </c>
      <c r="F257" s="17">
        <f>IF($B257="",0,--(OR(任务!I238&lt;0,任务!I238&gt;100)))</f>
        <v>0</v>
      </c>
      <c r="G257" s="17">
        <f>IF($B257="",0,IF(ISNUMBER(SEARCH(",",任务!J238)),0,IF(任务!J238="",0,--(COUNTIF(任务!$A$2:$A$301,TRIM(任务!J238))=0))))</f>
        <v>0</v>
      </c>
      <c r="H257" s="17">
        <f>IF($B257="",0,--(NOT(ISNUMBER(任务!I238))))</f>
        <v>0</v>
      </c>
      <c r="I257" s="17">
        <f t="shared" si="7"/>
        <v>0</v>
      </c>
    </row>
    <row r="258" spans="1:9">
      <c r="A258" s="15">
        <f t="shared" si="6"/>
        <v>239</v>
      </c>
      <c r="B258" s="16" t="str">
        <f>IF(任务!A239="","",任务!A239)</f>
        <v/>
      </c>
      <c r="C258" s="17">
        <f>IF($B258="",0,--(COUNTIF(任务!$A$2:$A$301,$B258)&gt;1))</f>
        <v>0</v>
      </c>
      <c r="D258" s="17">
        <f>IF($B258="",0,--(OR(任务!B239="",任务!C239="",任务!E239="",任务!G239="",任务!H239="",NOT(ISNUMBER(任务!I239)))))</f>
        <v>0</v>
      </c>
      <c r="E258" s="17">
        <f>IF($B258="",0,--(AND(任务!G239&lt;&gt;"",任务!H239&lt;&gt;"",任务!G239&gt;任务!H239)))</f>
        <v>0</v>
      </c>
      <c r="F258" s="17">
        <f>IF($B258="",0,--(OR(任务!I239&lt;0,任务!I239&gt;100)))</f>
        <v>0</v>
      </c>
      <c r="G258" s="17">
        <f>IF($B258="",0,IF(ISNUMBER(SEARCH(",",任务!J239)),0,IF(任务!J239="",0,--(COUNTIF(任务!$A$2:$A$301,TRIM(任务!J239))=0))))</f>
        <v>0</v>
      </c>
      <c r="H258" s="17">
        <f>IF($B258="",0,--(NOT(ISNUMBER(任务!I239))))</f>
        <v>0</v>
      </c>
      <c r="I258" s="17">
        <f t="shared" si="7"/>
        <v>0</v>
      </c>
    </row>
    <row r="259" spans="1:9">
      <c r="A259" s="15">
        <f t="shared" si="6"/>
        <v>240</v>
      </c>
      <c r="B259" s="16" t="str">
        <f>IF(任务!A240="","",任务!A240)</f>
        <v/>
      </c>
      <c r="C259" s="17">
        <f>IF($B259="",0,--(COUNTIF(任务!$A$2:$A$301,$B259)&gt;1))</f>
        <v>0</v>
      </c>
      <c r="D259" s="17">
        <f>IF($B259="",0,--(OR(任务!B240="",任务!C240="",任务!E240="",任务!G240="",任务!H240="",NOT(ISNUMBER(任务!I240)))))</f>
        <v>0</v>
      </c>
      <c r="E259" s="17">
        <f>IF($B259="",0,--(AND(任务!G240&lt;&gt;"",任务!H240&lt;&gt;"",任务!G240&gt;任务!H240)))</f>
        <v>0</v>
      </c>
      <c r="F259" s="17">
        <f>IF($B259="",0,--(OR(任务!I240&lt;0,任务!I240&gt;100)))</f>
        <v>0</v>
      </c>
      <c r="G259" s="17">
        <f>IF($B259="",0,IF(ISNUMBER(SEARCH(",",任务!J240)),0,IF(任务!J240="",0,--(COUNTIF(任务!$A$2:$A$301,TRIM(任务!J240))=0))))</f>
        <v>0</v>
      </c>
      <c r="H259" s="17">
        <f>IF($B259="",0,--(NOT(ISNUMBER(任务!I240))))</f>
        <v>0</v>
      </c>
      <c r="I259" s="17">
        <f t="shared" si="7"/>
        <v>0</v>
      </c>
    </row>
    <row r="260" spans="1:9">
      <c r="A260" s="15">
        <f t="shared" si="6"/>
        <v>241</v>
      </c>
      <c r="B260" s="16" t="str">
        <f>IF(任务!A241="","",任务!A241)</f>
        <v/>
      </c>
      <c r="C260" s="17">
        <f>IF($B260="",0,--(COUNTIF(任务!$A$2:$A$301,$B260)&gt;1))</f>
        <v>0</v>
      </c>
      <c r="D260" s="17">
        <f>IF($B260="",0,--(OR(任务!B241="",任务!C241="",任务!E241="",任务!G241="",任务!H241="",NOT(ISNUMBER(任务!I241)))))</f>
        <v>0</v>
      </c>
      <c r="E260" s="17">
        <f>IF($B260="",0,--(AND(任务!G241&lt;&gt;"",任务!H241&lt;&gt;"",任务!G241&gt;任务!H241)))</f>
        <v>0</v>
      </c>
      <c r="F260" s="17">
        <f>IF($B260="",0,--(OR(任务!I241&lt;0,任务!I241&gt;100)))</f>
        <v>0</v>
      </c>
      <c r="G260" s="17">
        <f>IF($B260="",0,IF(ISNUMBER(SEARCH(",",任务!J241)),0,IF(任务!J241="",0,--(COUNTIF(任务!$A$2:$A$301,TRIM(任务!J241))=0))))</f>
        <v>0</v>
      </c>
      <c r="H260" s="17">
        <f>IF($B260="",0,--(NOT(ISNUMBER(任务!I241))))</f>
        <v>0</v>
      </c>
      <c r="I260" s="17">
        <f t="shared" si="7"/>
        <v>0</v>
      </c>
    </row>
    <row r="261" spans="1:9">
      <c r="A261" s="15">
        <f t="shared" si="6"/>
        <v>242</v>
      </c>
      <c r="B261" s="16" t="str">
        <f>IF(任务!A242="","",任务!A242)</f>
        <v/>
      </c>
      <c r="C261" s="17">
        <f>IF($B261="",0,--(COUNTIF(任务!$A$2:$A$301,$B261)&gt;1))</f>
        <v>0</v>
      </c>
      <c r="D261" s="17">
        <f>IF($B261="",0,--(OR(任务!B242="",任务!C242="",任务!E242="",任务!G242="",任务!H242="",NOT(ISNUMBER(任务!I242)))))</f>
        <v>0</v>
      </c>
      <c r="E261" s="17">
        <f>IF($B261="",0,--(AND(任务!G242&lt;&gt;"",任务!H242&lt;&gt;"",任务!G242&gt;任务!H242)))</f>
        <v>0</v>
      </c>
      <c r="F261" s="17">
        <f>IF($B261="",0,--(OR(任务!I242&lt;0,任务!I242&gt;100)))</f>
        <v>0</v>
      </c>
      <c r="G261" s="17">
        <f>IF($B261="",0,IF(ISNUMBER(SEARCH(",",任务!J242)),0,IF(任务!J242="",0,--(COUNTIF(任务!$A$2:$A$301,TRIM(任务!J242))=0))))</f>
        <v>0</v>
      </c>
      <c r="H261" s="17">
        <f>IF($B261="",0,--(NOT(ISNUMBER(任务!I242))))</f>
        <v>0</v>
      </c>
      <c r="I261" s="17">
        <f t="shared" si="7"/>
        <v>0</v>
      </c>
    </row>
    <row r="262" spans="1:9">
      <c r="A262" s="15">
        <f t="shared" si="6"/>
        <v>243</v>
      </c>
      <c r="B262" s="16" t="str">
        <f>IF(任务!A243="","",任务!A243)</f>
        <v/>
      </c>
      <c r="C262" s="17">
        <f>IF($B262="",0,--(COUNTIF(任务!$A$2:$A$301,$B262)&gt;1))</f>
        <v>0</v>
      </c>
      <c r="D262" s="17">
        <f>IF($B262="",0,--(OR(任务!B243="",任务!C243="",任务!E243="",任务!G243="",任务!H243="",NOT(ISNUMBER(任务!I243)))))</f>
        <v>0</v>
      </c>
      <c r="E262" s="17">
        <f>IF($B262="",0,--(AND(任务!G243&lt;&gt;"",任务!H243&lt;&gt;"",任务!G243&gt;任务!H243)))</f>
        <v>0</v>
      </c>
      <c r="F262" s="17">
        <f>IF($B262="",0,--(OR(任务!I243&lt;0,任务!I243&gt;100)))</f>
        <v>0</v>
      </c>
      <c r="G262" s="17">
        <f>IF($B262="",0,IF(ISNUMBER(SEARCH(",",任务!J243)),0,IF(任务!J243="",0,--(COUNTIF(任务!$A$2:$A$301,TRIM(任务!J243))=0))))</f>
        <v>0</v>
      </c>
      <c r="H262" s="17">
        <f>IF($B262="",0,--(NOT(ISNUMBER(任务!I243))))</f>
        <v>0</v>
      </c>
      <c r="I262" s="17">
        <f t="shared" si="7"/>
        <v>0</v>
      </c>
    </row>
    <row r="263" spans="1:9">
      <c r="A263" s="15">
        <f t="shared" si="6"/>
        <v>244</v>
      </c>
      <c r="B263" s="16" t="str">
        <f>IF(任务!A244="","",任务!A244)</f>
        <v/>
      </c>
      <c r="C263" s="17">
        <f>IF($B263="",0,--(COUNTIF(任务!$A$2:$A$301,$B263)&gt;1))</f>
        <v>0</v>
      </c>
      <c r="D263" s="17">
        <f>IF($B263="",0,--(OR(任务!B244="",任务!C244="",任务!E244="",任务!G244="",任务!H244="",NOT(ISNUMBER(任务!I244)))))</f>
        <v>0</v>
      </c>
      <c r="E263" s="17">
        <f>IF($B263="",0,--(AND(任务!G244&lt;&gt;"",任务!H244&lt;&gt;"",任务!G244&gt;任务!H244)))</f>
        <v>0</v>
      </c>
      <c r="F263" s="17">
        <f>IF($B263="",0,--(OR(任务!I244&lt;0,任务!I244&gt;100)))</f>
        <v>0</v>
      </c>
      <c r="G263" s="17">
        <f>IF($B263="",0,IF(ISNUMBER(SEARCH(",",任务!J244)),0,IF(任务!J244="",0,--(COUNTIF(任务!$A$2:$A$301,TRIM(任务!J244))=0))))</f>
        <v>0</v>
      </c>
      <c r="H263" s="17">
        <f>IF($B263="",0,--(NOT(ISNUMBER(任务!I244))))</f>
        <v>0</v>
      </c>
      <c r="I263" s="17">
        <f t="shared" si="7"/>
        <v>0</v>
      </c>
    </row>
    <row r="264" spans="1:9">
      <c r="A264" s="15">
        <f t="shared" si="6"/>
        <v>245</v>
      </c>
      <c r="B264" s="16" t="str">
        <f>IF(任务!A245="","",任务!A245)</f>
        <v/>
      </c>
      <c r="C264" s="17">
        <f>IF($B264="",0,--(COUNTIF(任务!$A$2:$A$301,$B264)&gt;1))</f>
        <v>0</v>
      </c>
      <c r="D264" s="17">
        <f>IF($B264="",0,--(OR(任务!B245="",任务!C245="",任务!E245="",任务!G245="",任务!H245="",NOT(ISNUMBER(任务!I245)))))</f>
        <v>0</v>
      </c>
      <c r="E264" s="17">
        <f>IF($B264="",0,--(AND(任务!G245&lt;&gt;"",任务!H245&lt;&gt;"",任务!G245&gt;任务!H245)))</f>
        <v>0</v>
      </c>
      <c r="F264" s="17">
        <f>IF($B264="",0,--(OR(任务!I245&lt;0,任务!I245&gt;100)))</f>
        <v>0</v>
      </c>
      <c r="G264" s="17">
        <f>IF($B264="",0,IF(ISNUMBER(SEARCH(",",任务!J245)),0,IF(任务!J245="",0,--(COUNTIF(任务!$A$2:$A$301,TRIM(任务!J245))=0))))</f>
        <v>0</v>
      </c>
      <c r="H264" s="17">
        <f>IF($B264="",0,--(NOT(ISNUMBER(任务!I245))))</f>
        <v>0</v>
      </c>
      <c r="I264" s="17">
        <f t="shared" si="7"/>
        <v>0</v>
      </c>
    </row>
    <row r="265" spans="1:9">
      <c r="A265" s="15">
        <f t="shared" si="6"/>
        <v>246</v>
      </c>
      <c r="B265" s="16" t="str">
        <f>IF(任务!A246="","",任务!A246)</f>
        <v/>
      </c>
      <c r="C265" s="17">
        <f>IF($B265="",0,--(COUNTIF(任务!$A$2:$A$301,$B265)&gt;1))</f>
        <v>0</v>
      </c>
      <c r="D265" s="17">
        <f>IF($B265="",0,--(OR(任务!B246="",任务!C246="",任务!E246="",任务!G246="",任务!H246="",NOT(ISNUMBER(任务!I246)))))</f>
        <v>0</v>
      </c>
      <c r="E265" s="17">
        <f>IF($B265="",0,--(AND(任务!G246&lt;&gt;"",任务!H246&lt;&gt;"",任务!G246&gt;任务!H246)))</f>
        <v>0</v>
      </c>
      <c r="F265" s="17">
        <f>IF($B265="",0,--(OR(任务!I246&lt;0,任务!I246&gt;100)))</f>
        <v>0</v>
      </c>
      <c r="G265" s="17">
        <f>IF($B265="",0,IF(ISNUMBER(SEARCH(",",任务!J246)),0,IF(任务!J246="",0,--(COUNTIF(任务!$A$2:$A$301,TRIM(任务!J246))=0))))</f>
        <v>0</v>
      </c>
      <c r="H265" s="17">
        <f>IF($B265="",0,--(NOT(ISNUMBER(任务!I246))))</f>
        <v>0</v>
      </c>
      <c r="I265" s="17">
        <f t="shared" si="7"/>
        <v>0</v>
      </c>
    </row>
    <row r="266" spans="1:9">
      <c r="A266" s="15">
        <f t="shared" si="6"/>
        <v>247</v>
      </c>
      <c r="B266" s="16" t="str">
        <f>IF(任务!A247="","",任务!A247)</f>
        <v/>
      </c>
      <c r="C266" s="17">
        <f>IF($B266="",0,--(COUNTIF(任务!$A$2:$A$301,$B266)&gt;1))</f>
        <v>0</v>
      </c>
      <c r="D266" s="17">
        <f>IF($B266="",0,--(OR(任务!B247="",任务!C247="",任务!E247="",任务!G247="",任务!H247="",NOT(ISNUMBER(任务!I247)))))</f>
        <v>0</v>
      </c>
      <c r="E266" s="17">
        <f>IF($B266="",0,--(AND(任务!G247&lt;&gt;"",任务!H247&lt;&gt;"",任务!G247&gt;任务!H247)))</f>
        <v>0</v>
      </c>
      <c r="F266" s="17">
        <f>IF($B266="",0,--(OR(任务!I247&lt;0,任务!I247&gt;100)))</f>
        <v>0</v>
      </c>
      <c r="G266" s="17">
        <f>IF($B266="",0,IF(ISNUMBER(SEARCH(",",任务!J247)),0,IF(任务!J247="",0,--(COUNTIF(任务!$A$2:$A$301,TRIM(任务!J247))=0))))</f>
        <v>0</v>
      </c>
      <c r="H266" s="17">
        <f>IF($B266="",0,--(NOT(ISNUMBER(任务!I247))))</f>
        <v>0</v>
      </c>
      <c r="I266" s="17">
        <f t="shared" si="7"/>
        <v>0</v>
      </c>
    </row>
    <row r="267" spans="1:9">
      <c r="A267" s="15">
        <f t="shared" si="6"/>
        <v>248</v>
      </c>
      <c r="B267" s="16" t="str">
        <f>IF(任务!A248="","",任务!A248)</f>
        <v/>
      </c>
      <c r="C267" s="17">
        <f>IF($B267="",0,--(COUNTIF(任务!$A$2:$A$301,$B267)&gt;1))</f>
        <v>0</v>
      </c>
      <c r="D267" s="17">
        <f>IF($B267="",0,--(OR(任务!B248="",任务!C248="",任务!E248="",任务!G248="",任务!H248="",NOT(ISNUMBER(任务!I248)))))</f>
        <v>0</v>
      </c>
      <c r="E267" s="17">
        <f>IF($B267="",0,--(AND(任务!G248&lt;&gt;"",任务!H248&lt;&gt;"",任务!G248&gt;任务!H248)))</f>
        <v>0</v>
      </c>
      <c r="F267" s="17">
        <f>IF($B267="",0,--(OR(任务!I248&lt;0,任务!I248&gt;100)))</f>
        <v>0</v>
      </c>
      <c r="G267" s="17">
        <f>IF($B267="",0,IF(ISNUMBER(SEARCH(",",任务!J248)),0,IF(任务!J248="",0,--(COUNTIF(任务!$A$2:$A$301,TRIM(任务!J248))=0))))</f>
        <v>0</v>
      </c>
      <c r="H267" s="17">
        <f>IF($B267="",0,--(NOT(ISNUMBER(任务!I248))))</f>
        <v>0</v>
      </c>
      <c r="I267" s="17">
        <f t="shared" si="7"/>
        <v>0</v>
      </c>
    </row>
    <row r="268" spans="1:9">
      <c r="A268" s="15">
        <f t="shared" si="6"/>
        <v>249</v>
      </c>
      <c r="B268" s="16" t="str">
        <f>IF(任务!A249="","",任务!A249)</f>
        <v/>
      </c>
      <c r="C268" s="17">
        <f>IF($B268="",0,--(COUNTIF(任务!$A$2:$A$301,$B268)&gt;1))</f>
        <v>0</v>
      </c>
      <c r="D268" s="17">
        <f>IF($B268="",0,--(OR(任务!B249="",任务!C249="",任务!E249="",任务!G249="",任务!H249="",NOT(ISNUMBER(任务!I249)))))</f>
        <v>0</v>
      </c>
      <c r="E268" s="17">
        <f>IF($B268="",0,--(AND(任务!G249&lt;&gt;"",任务!H249&lt;&gt;"",任务!G249&gt;任务!H249)))</f>
        <v>0</v>
      </c>
      <c r="F268" s="17">
        <f>IF($B268="",0,--(OR(任务!I249&lt;0,任务!I249&gt;100)))</f>
        <v>0</v>
      </c>
      <c r="G268" s="17">
        <f>IF($B268="",0,IF(ISNUMBER(SEARCH(",",任务!J249)),0,IF(任务!J249="",0,--(COUNTIF(任务!$A$2:$A$301,TRIM(任务!J249))=0))))</f>
        <v>0</v>
      </c>
      <c r="H268" s="17">
        <f>IF($B268="",0,--(NOT(ISNUMBER(任务!I249))))</f>
        <v>0</v>
      </c>
      <c r="I268" s="17">
        <f t="shared" si="7"/>
        <v>0</v>
      </c>
    </row>
    <row r="269" spans="1:9">
      <c r="A269" s="15">
        <f t="shared" si="6"/>
        <v>250</v>
      </c>
      <c r="B269" s="16" t="str">
        <f>IF(任务!A250="","",任务!A250)</f>
        <v/>
      </c>
      <c r="C269" s="17">
        <f>IF($B269="",0,--(COUNTIF(任务!$A$2:$A$301,$B269)&gt;1))</f>
        <v>0</v>
      </c>
      <c r="D269" s="17">
        <f>IF($B269="",0,--(OR(任务!B250="",任务!C250="",任务!E250="",任务!G250="",任务!H250="",NOT(ISNUMBER(任务!I250)))))</f>
        <v>0</v>
      </c>
      <c r="E269" s="17">
        <f>IF($B269="",0,--(AND(任务!G250&lt;&gt;"",任务!H250&lt;&gt;"",任务!G250&gt;任务!H250)))</f>
        <v>0</v>
      </c>
      <c r="F269" s="17">
        <f>IF($B269="",0,--(OR(任务!I250&lt;0,任务!I250&gt;100)))</f>
        <v>0</v>
      </c>
      <c r="G269" s="17">
        <f>IF($B269="",0,IF(ISNUMBER(SEARCH(",",任务!J250)),0,IF(任务!J250="",0,--(COUNTIF(任务!$A$2:$A$301,TRIM(任务!J250))=0))))</f>
        <v>0</v>
      </c>
      <c r="H269" s="17">
        <f>IF($B269="",0,--(NOT(ISNUMBER(任务!I250))))</f>
        <v>0</v>
      </c>
      <c r="I269" s="17">
        <f t="shared" si="7"/>
        <v>0</v>
      </c>
    </row>
    <row r="270" spans="1:9">
      <c r="A270" s="15">
        <f t="shared" si="6"/>
        <v>251</v>
      </c>
      <c r="B270" s="16" t="str">
        <f>IF(任务!A251="","",任务!A251)</f>
        <v/>
      </c>
      <c r="C270" s="17">
        <f>IF($B270="",0,--(COUNTIF(任务!$A$2:$A$301,$B270)&gt;1))</f>
        <v>0</v>
      </c>
      <c r="D270" s="17">
        <f>IF($B270="",0,--(OR(任务!B251="",任务!C251="",任务!E251="",任务!G251="",任务!H251="",NOT(ISNUMBER(任务!I251)))))</f>
        <v>0</v>
      </c>
      <c r="E270" s="17">
        <f>IF($B270="",0,--(AND(任务!G251&lt;&gt;"",任务!H251&lt;&gt;"",任务!G251&gt;任务!H251)))</f>
        <v>0</v>
      </c>
      <c r="F270" s="17">
        <f>IF($B270="",0,--(OR(任务!I251&lt;0,任务!I251&gt;100)))</f>
        <v>0</v>
      </c>
      <c r="G270" s="17">
        <f>IF($B270="",0,IF(ISNUMBER(SEARCH(",",任务!J251)),0,IF(任务!J251="",0,--(COUNTIF(任务!$A$2:$A$301,TRIM(任务!J251))=0))))</f>
        <v>0</v>
      </c>
      <c r="H270" s="17">
        <f>IF($B270="",0,--(NOT(ISNUMBER(任务!I251))))</f>
        <v>0</v>
      </c>
      <c r="I270" s="17">
        <f t="shared" si="7"/>
        <v>0</v>
      </c>
    </row>
    <row r="271" spans="1:9">
      <c r="A271" s="15">
        <f t="shared" si="6"/>
        <v>252</v>
      </c>
      <c r="B271" s="16" t="str">
        <f>IF(任务!A252="","",任务!A252)</f>
        <v/>
      </c>
      <c r="C271" s="17">
        <f>IF($B271="",0,--(COUNTIF(任务!$A$2:$A$301,$B271)&gt;1))</f>
        <v>0</v>
      </c>
      <c r="D271" s="17">
        <f>IF($B271="",0,--(OR(任务!B252="",任务!C252="",任务!E252="",任务!G252="",任务!H252="",NOT(ISNUMBER(任务!I252)))))</f>
        <v>0</v>
      </c>
      <c r="E271" s="17">
        <f>IF($B271="",0,--(AND(任务!G252&lt;&gt;"",任务!H252&lt;&gt;"",任务!G252&gt;任务!H252)))</f>
        <v>0</v>
      </c>
      <c r="F271" s="17">
        <f>IF($B271="",0,--(OR(任务!I252&lt;0,任务!I252&gt;100)))</f>
        <v>0</v>
      </c>
      <c r="G271" s="17">
        <f>IF($B271="",0,IF(ISNUMBER(SEARCH(",",任务!J252)),0,IF(任务!J252="",0,--(COUNTIF(任务!$A$2:$A$301,TRIM(任务!J252))=0))))</f>
        <v>0</v>
      </c>
      <c r="H271" s="17">
        <f>IF($B271="",0,--(NOT(ISNUMBER(任务!I252))))</f>
        <v>0</v>
      </c>
      <c r="I271" s="17">
        <f t="shared" si="7"/>
        <v>0</v>
      </c>
    </row>
    <row r="272" spans="1:9">
      <c r="A272" s="15">
        <f t="shared" si="6"/>
        <v>253</v>
      </c>
      <c r="B272" s="16" t="str">
        <f>IF(任务!A253="","",任务!A253)</f>
        <v/>
      </c>
      <c r="C272" s="17">
        <f>IF($B272="",0,--(COUNTIF(任务!$A$2:$A$301,$B272)&gt;1))</f>
        <v>0</v>
      </c>
      <c r="D272" s="17">
        <f>IF($B272="",0,--(OR(任务!B253="",任务!C253="",任务!E253="",任务!G253="",任务!H253="",NOT(ISNUMBER(任务!I253)))))</f>
        <v>0</v>
      </c>
      <c r="E272" s="17">
        <f>IF($B272="",0,--(AND(任务!G253&lt;&gt;"",任务!H253&lt;&gt;"",任务!G253&gt;任务!H253)))</f>
        <v>0</v>
      </c>
      <c r="F272" s="17">
        <f>IF($B272="",0,--(OR(任务!I253&lt;0,任务!I253&gt;100)))</f>
        <v>0</v>
      </c>
      <c r="G272" s="17">
        <f>IF($B272="",0,IF(ISNUMBER(SEARCH(",",任务!J253)),0,IF(任务!J253="",0,--(COUNTIF(任务!$A$2:$A$301,TRIM(任务!J253))=0))))</f>
        <v>0</v>
      </c>
      <c r="H272" s="17">
        <f>IF($B272="",0,--(NOT(ISNUMBER(任务!I253))))</f>
        <v>0</v>
      </c>
      <c r="I272" s="17">
        <f t="shared" si="7"/>
        <v>0</v>
      </c>
    </row>
    <row r="273" spans="1:9">
      <c r="A273" s="15">
        <f t="shared" si="6"/>
        <v>254</v>
      </c>
      <c r="B273" s="16" t="str">
        <f>IF(任务!A254="","",任务!A254)</f>
        <v/>
      </c>
      <c r="C273" s="17">
        <f>IF($B273="",0,--(COUNTIF(任务!$A$2:$A$301,$B273)&gt;1))</f>
        <v>0</v>
      </c>
      <c r="D273" s="17">
        <f>IF($B273="",0,--(OR(任务!B254="",任务!C254="",任务!E254="",任务!G254="",任务!H254="",NOT(ISNUMBER(任务!I254)))))</f>
        <v>0</v>
      </c>
      <c r="E273" s="17">
        <f>IF($B273="",0,--(AND(任务!G254&lt;&gt;"",任务!H254&lt;&gt;"",任务!G254&gt;任务!H254)))</f>
        <v>0</v>
      </c>
      <c r="F273" s="17">
        <f>IF($B273="",0,--(OR(任务!I254&lt;0,任务!I254&gt;100)))</f>
        <v>0</v>
      </c>
      <c r="G273" s="17">
        <f>IF($B273="",0,IF(ISNUMBER(SEARCH(",",任务!J254)),0,IF(任务!J254="",0,--(COUNTIF(任务!$A$2:$A$301,TRIM(任务!J254))=0))))</f>
        <v>0</v>
      </c>
      <c r="H273" s="17">
        <f>IF($B273="",0,--(NOT(ISNUMBER(任务!I254))))</f>
        <v>0</v>
      </c>
      <c r="I273" s="17">
        <f t="shared" si="7"/>
        <v>0</v>
      </c>
    </row>
    <row r="274" spans="1:9">
      <c r="A274" s="15">
        <f t="shared" si="6"/>
        <v>255</v>
      </c>
      <c r="B274" s="16" t="str">
        <f>IF(任务!A255="","",任务!A255)</f>
        <v/>
      </c>
      <c r="C274" s="17">
        <f>IF($B274="",0,--(COUNTIF(任务!$A$2:$A$301,$B274)&gt;1))</f>
        <v>0</v>
      </c>
      <c r="D274" s="17">
        <f>IF($B274="",0,--(OR(任务!B255="",任务!C255="",任务!E255="",任务!G255="",任务!H255="",NOT(ISNUMBER(任务!I255)))))</f>
        <v>0</v>
      </c>
      <c r="E274" s="17">
        <f>IF($B274="",0,--(AND(任务!G255&lt;&gt;"",任务!H255&lt;&gt;"",任务!G255&gt;任务!H255)))</f>
        <v>0</v>
      </c>
      <c r="F274" s="17">
        <f>IF($B274="",0,--(OR(任务!I255&lt;0,任务!I255&gt;100)))</f>
        <v>0</v>
      </c>
      <c r="G274" s="17">
        <f>IF($B274="",0,IF(ISNUMBER(SEARCH(",",任务!J255)),0,IF(任务!J255="",0,--(COUNTIF(任务!$A$2:$A$301,TRIM(任务!J255))=0))))</f>
        <v>0</v>
      </c>
      <c r="H274" s="17">
        <f>IF($B274="",0,--(NOT(ISNUMBER(任务!I255))))</f>
        <v>0</v>
      </c>
      <c r="I274" s="17">
        <f t="shared" si="7"/>
        <v>0</v>
      </c>
    </row>
    <row r="275" spans="1:9">
      <c r="A275" s="15">
        <f t="shared" si="6"/>
        <v>256</v>
      </c>
      <c r="B275" s="16" t="str">
        <f>IF(任务!A256="","",任务!A256)</f>
        <v/>
      </c>
      <c r="C275" s="17">
        <f>IF($B275="",0,--(COUNTIF(任务!$A$2:$A$301,$B275)&gt;1))</f>
        <v>0</v>
      </c>
      <c r="D275" s="17">
        <f>IF($B275="",0,--(OR(任务!B256="",任务!C256="",任务!E256="",任务!G256="",任务!H256="",NOT(ISNUMBER(任务!I256)))))</f>
        <v>0</v>
      </c>
      <c r="E275" s="17">
        <f>IF($B275="",0,--(AND(任务!G256&lt;&gt;"",任务!H256&lt;&gt;"",任务!G256&gt;任务!H256)))</f>
        <v>0</v>
      </c>
      <c r="F275" s="17">
        <f>IF($B275="",0,--(OR(任务!I256&lt;0,任务!I256&gt;100)))</f>
        <v>0</v>
      </c>
      <c r="G275" s="17">
        <f>IF($B275="",0,IF(ISNUMBER(SEARCH(",",任务!J256)),0,IF(任务!J256="",0,--(COUNTIF(任务!$A$2:$A$301,TRIM(任务!J256))=0))))</f>
        <v>0</v>
      </c>
      <c r="H275" s="17">
        <f>IF($B275="",0,--(NOT(ISNUMBER(任务!I256))))</f>
        <v>0</v>
      </c>
      <c r="I275" s="17">
        <f t="shared" si="7"/>
        <v>0</v>
      </c>
    </row>
    <row r="276" spans="1:9">
      <c r="A276" s="15">
        <f t="shared" si="6"/>
        <v>257</v>
      </c>
      <c r="B276" s="16" t="str">
        <f>IF(任务!A257="","",任务!A257)</f>
        <v/>
      </c>
      <c r="C276" s="17">
        <f>IF($B276="",0,--(COUNTIF(任务!$A$2:$A$301,$B276)&gt;1))</f>
        <v>0</v>
      </c>
      <c r="D276" s="17">
        <f>IF($B276="",0,--(OR(任务!B257="",任务!C257="",任务!E257="",任务!G257="",任务!H257="",NOT(ISNUMBER(任务!I257)))))</f>
        <v>0</v>
      </c>
      <c r="E276" s="17">
        <f>IF($B276="",0,--(AND(任务!G257&lt;&gt;"",任务!H257&lt;&gt;"",任务!G257&gt;任务!H257)))</f>
        <v>0</v>
      </c>
      <c r="F276" s="17">
        <f>IF($B276="",0,--(OR(任务!I257&lt;0,任务!I257&gt;100)))</f>
        <v>0</v>
      </c>
      <c r="G276" s="17">
        <f>IF($B276="",0,IF(ISNUMBER(SEARCH(",",任务!J257)),0,IF(任务!J257="",0,--(COUNTIF(任务!$A$2:$A$301,TRIM(任务!J257))=0))))</f>
        <v>0</v>
      </c>
      <c r="H276" s="17">
        <f>IF($B276="",0,--(NOT(ISNUMBER(任务!I257))))</f>
        <v>0</v>
      </c>
      <c r="I276" s="17">
        <f t="shared" si="7"/>
        <v>0</v>
      </c>
    </row>
    <row r="277" spans="1:9">
      <c r="A277" s="15">
        <f t="shared" ref="A277:A320" si="8">ROW()-19</f>
        <v>258</v>
      </c>
      <c r="B277" s="16" t="str">
        <f>IF(任务!A258="","",任务!A258)</f>
        <v/>
      </c>
      <c r="C277" s="17">
        <f>IF($B277="",0,--(COUNTIF(任务!$A$2:$A$301,$B277)&gt;1))</f>
        <v>0</v>
      </c>
      <c r="D277" s="17">
        <f>IF($B277="",0,--(OR(任务!B258="",任务!C258="",任务!E258="",任务!G258="",任务!H258="",NOT(ISNUMBER(任务!I258)))))</f>
        <v>0</v>
      </c>
      <c r="E277" s="17">
        <f>IF($B277="",0,--(AND(任务!G258&lt;&gt;"",任务!H258&lt;&gt;"",任务!G258&gt;任务!H258)))</f>
        <v>0</v>
      </c>
      <c r="F277" s="17">
        <f>IF($B277="",0,--(OR(任务!I258&lt;0,任务!I258&gt;100)))</f>
        <v>0</v>
      </c>
      <c r="G277" s="17">
        <f>IF($B277="",0,IF(ISNUMBER(SEARCH(",",任务!J258)),0,IF(任务!J258="",0,--(COUNTIF(任务!$A$2:$A$301,TRIM(任务!J258))=0))))</f>
        <v>0</v>
      </c>
      <c r="H277" s="17">
        <f>IF($B277="",0,--(NOT(ISNUMBER(任务!I258))))</f>
        <v>0</v>
      </c>
      <c r="I277" s="17">
        <f t="shared" ref="I277:I320" si="9">IF($B277="",0,C277+D277+E277+F277+G277+I277)</f>
        <v>0</v>
      </c>
    </row>
    <row r="278" spans="1:9">
      <c r="A278" s="15">
        <f t="shared" si="8"/>
        <v>259</v>
      </c>
      <c r="B278" s="16" t="str">
        <f>IF(任务!A259="","",任务!A259)</f>
        <v/>
      </c>
      <c r="C278" s="17">
        <f>IF($B278="",0,--(COUNTIF(任务!$A$2:$A$301,$B278)&gt;1))</f>
        <v>0</v>
      </c>
      <c r="D278" s="17">
        <f>IF($B278="",0,--(OR(任务!B259="",任务!C259="",任务!E259="",任务!G259="",任务!H259="",NOT(ISNUMBER(任务!I259)))))</f>
        <v>0</v>
      </c>
      <c r="E278" s="17">
        <f>IF($B278="",0,--(AND(任务!G259&lt;&gt;"",任务!H259&lt;&gt;"",任务!G259&gt;任务!H259)))</f>
        <v>0</v>
      </c>
      <c r="F278" s="17">
        <f>IF($B278="",0,--(OR(任务!I259&lt;0,任务!I259&gt;100)))</f>
        <v>0</v>
      </c>
      <c r="G278" s="17">
        <f>IF($B278="",0,IF(ISNUMBER(SEARCH(",",任务!J259)),0,IF(任务!J259="",0,--(COUNTIF(任务!$A$2:$A$301,TRIM(任务!J259))=0))))</f>
        <v>0</v>
      </c>
      <c r="H278" s="17">
        <f>IF($B278="",0,--(NOT(ISNUMBER(任务!I259))))</f>
        <v>0</v>
      </c>
      <c r="I278" s="17">
        <f t="shared" si="9"/>
        <v>0</v>
      </c>
    </row>
    <row r="279" spans="1:9">
      <c r="A279" s="15">
        <f t="shared" si="8"/>
        <v>260</v>
      </c>
      <c r="B279" s="16" t="str">
        <f>IF(任务!A260="","",任务!A260)</f>
        <v/>
      </c>
      <c r="C279" s="17">
        <f>IF($B279="",0,--(COUNTIF(任务!$A$2:$A$301,$B279)&gt;1))</f>
        <v>0</v>
      </c>
      <c r="D279" s="17">
        <f>IF($B279="",0,--(OR(任务!B260="",任务!C260="",任务!E260="",任务!G260="",任务!H260="",NOT(ISNUMBER(任务!I260)))))</f>
        <v>0</v>
      </c>
      <c r="E279" s="17">
        <f>IF($B279="",0,--(AND(任务!G260&lt;&gt;"",任务!H260&lt;&gt;"",任务!G260&gt;任务!H260)))</f>
        <v>0</v>
      </c>
      <c r="F279" s="17">
        <f>IF($B279="",0,--(OR(任务!I260&lt;0,任务!I260&gt;100)))</f>
        <v>0</v>
      </c>
      <c r="G279" s="17">
        <f>IF($B279="",0,IF(ISNUMBER(SEARCH(",",任务!J260)),0,IF(任务!J260="",0,--(COUNTIF(任务!$A$2:$A$301,TRIM(任务!J260))=0))))</f>
        <v>0</v>
      </c>
      <c r="H279" s="17">
        <f>IF($B279="",0,--(NOT(ISNUMBER(任务!I260))))</f>
        <v>0</v>
      </c>
      <c r="I279" s="17">
        <f t="shared" si="9"/>
        <v>0</v>
      </c>
    </row>
    <row r="280" spans="1:9">
      <c r="A280" s="15">
        <f t="shared" si="8"/>
        <v>261</v>
      </c>
      <c r="B280" s="16" t="str">
        <f>IF(任务!A261="","",任务!A261)</f>
        <v/>
      </c>
      <c r="C280" s="17">
        <f>IF($B280="",0,--(COUNTIF(任务!$A$2:$A$301,$B280)&gt;1))</f>
        <v>0</v>
      </c>
      <c r="D280" s="17">
        <f>IF($B280="",0,--(OR(任务!B261="",任务!C261="",任务!E261="",任务!G261="",任务!H261="",NOT(ISNUMBER(任务!I261)))))</f>
        <v>0</v>
      </c>
      <c r="E280" s="17">
        <f>IF($B280="",0,--(AND(任务!G261&lt;&gt;"",任务!H261&lt;&gt;"",任务!G261&gt;任务!H261)))</f>
        <v>0</v>
      </c>
      <c r="F280" s="17">
        <f>IF($B280="",0,--(OR(任务!I261&lt;0,任务!I261&gt;100)))</f>
        <v>0</v>
      </c>
      <c r="G280" s="17">
        <f>IF($B280="",0,IF(ISNUMBER(SEARCH(",",任务!J261)),0,IF(任务!J261="",0,--(COUNTIF(任务!$A$2:$A$301,TRIM(任务!J261))=0))))</f>
        <v>0</v>
      </c>
      <c r="H280" s="17">
        <f>IF($B280="",0,--(NOT(ISNUMBER(任务!I261))))</f>
        <v>0</v>
      </c>
      <c r="I280" s="17">
        <f t="shared" si="9"/>
        <v>0</v>
      </c>
    </row>
    <row r="281" spans="1:9">
      <c r="A281" s="15">
        <f t="shared" si="8"/>
        <v>262</v>
      </c>
      <c r="B281" s="16" t="str">
        <f>IF(任务!A262="","",任务!A262)</f>
        <v/>
      </c>
      <c r="C281" s="17">
        <f>IF($B281="",0,--(COUNTIF(任务!$A$2:$A$301,$B281)&gt;1))</f>
        <v>0</v>
      </c>
      <c r="D281" s="17">
        <f>IF($B281="",0,--(OR(任务!B262="",任务!C262="",任务!E262="",任务!G262="",任务!H262="",NOT(ISNUMBER(任务!I262)))))</f>
        <v>0</v>
      </c>
      <c r="E281" s="17">
        <f>IF($B281="",0,--(AND(任务!G262&lt;&gt;"",任务!H262&lt;&gt;"",任务!G262&gt;任务!H262)))</f>
        <v>0</v>
      </c>
      <c r="F281" s="17">
        <f>IF($B281="",0,--(OR(任务!I262&lt;0,任务!I262&gt;100)))</f>
        <v>0</v>
      </c>
      <c r="G281" s="17">
        <f>IF($B281="",0,IF(ISNUMBER(SEARCH(",",任务!J262)),0,IF(任务!J262="",0,--(COUNTIF(任务!$A$2:$A$301,TRIM(任务!J262))=0))))</f>
        <v>0</v>
      </c>
      <c r="H281" s="17">
        <f>IF($B281="",0,--(NOT(ISNUMBER(任务!I262))))</f>
        <v>0</v>
      </c>
      <c r="I281" s="17">
        <f t="shared" si="9"/>
        <v>0</v>
      </c>
    </row>
    <row r="282" spans="1:9">
      <c r="A282" s="15">
        <f t="shared" si="8"/>
        <v>263</v>
      </c>
      <c r="B282" s="16" t="str">
        <f>IF(任务!A263="","",任务!A263)</f>
        <v/>
      </c>
      <c r="C282" s="17">
        <f>IF($B282="",0,--(COUNTIF(任务!$A$2:$A$301,$B282)&gt;1))</f>
        <v>0</v>
      </c>
      <c r="D282" s="17">
        <f>IF($B282="",0,--(OR(任务!B263="",任务!C263="",任务!E263="",任务!G263="",任务!H263="",NOT(ISNUMBER(任务!I263)))))</f>
        <v>0</v>
      </c>
      <c r="E282" s="17">
        <f>IF($B282="",0,--(AND(任务!G263&lt;&gt;"",任务!H263&lt;&gt;"",任务!G263&gt;任务!H263)))</f>
        <v>0</v>
      </c>
      <c r="F282" s="17">
        <f>IF($B282="",0,--(OR(任务!I263&lt;0,任务!I263&gt;100)))</f>
        <v>0</v>
      </c>
      <c r="G282" s="17">
        <f>IF($B282="",0,IF(ISNUMBER(SEARCH(",",任务!J263)),0,IF(任务!J263="",0,--(COUNTIF(任务!$A$2:$A$301,TRIM(任务!J263))=0))))</f>
        <v>0</v>
      </c>
      <c r="H282" s="17">
        <f>IF($B282="",0,--(NOT(ISNUMBER(任务!I263))))</f>
        <v>0</v>
      </c>
      <c r="I282" s="17">
        <f t="shared" si="9"/>
        <v>0</v>
      </c>
    </row>
    <row r="283" spans="1:9">
      <c r="A283" s="15">
        <f t="shared" si="8"/>
        <v>264</v>
      </c>
      <c r="B283" s="16" t="str">
        <f>IF(任务!A264="","",任务!A264)</f>
        <v/>
      </c>
      <c r="C283" s="17">
        <f>IF($B283="",0,--(COUNTIF(任务!$A$2:$A$301,$B283)&gt;1))</f>
        <v>0</v>
      </c>
      <c r="D283" s="17">
        <f>IF($B283="",0,--(OR(任务!B264="",任务!C264="",任务!E264="",任务!G264="",任务!H264="",NOT(ISNUMBER(任务!I264)))))</f>
        <v>0</v>
      </c>
      <c r="E283" s="17">
        <f>IF($B283="",0,--(AND(任务!G264&lt;&gt;"",任务!H264&lt;&gt;"",任务!G264&gt;任务!H264)))</f>
        <v>0</v>
      </c>
      <c r="F283" s="17">
        <f>IF($B283="",0,--(OR(任务!I264&lt;0,任务!I264&gt;100)))</f>
        <v>0</v>
      </c>
      <c r="G283" s="17">
        <f>IF($B283="",0,IF(ISNUMBER(SEARCH(",",任务!J264)),0,IF(任务!J264="",0,--(COUNTIF(任务!$A$2:$A$301,TRIM(任务!J264))=0))))</f>
        <v>0</v>
      </c>
      <c r="H283" s="17">
        <f>IF($B283="",0,--(NOT(ISNUMBER(任务!I264))))</f>
        <v>0</v>
      </c>
      <c r="I283" s="17">
        <f t="shared" si="9"/>
        <v>0</v>
      </c>
    </row>
    <row r="284" spans="1:9">
      <c r="A284" s="15">
        <f t="shared" si="8"/>
        <v>265</v>
      </c>
      <c r="B284" s="16" t="str">
        <f>IF(任务!A265="","",任务!A265)</f>
        <v/>
      </c>
      <c r="C284" s="17">
        <f>IF($B284="",0,--(COUNTIF(任务!$A$2:$A$301,$B284)&gt;1))</f>
        <v>0</v>
      </c>
      <c r="D284" s="17">
        <f>IF($B284="",0,--(OR(任务!B265="",任务!C265="",任务!E265="",任务!G265="",任务!H265="",NOT(ISNUMBER(任务!I265)))))</f>
        <v>0</v>
      </c>
      <c r="E284" s="17">
        <f>IF($B284="",0,--(AND(任务!G265&lt;&gt;"",任务!H265&lt;&gt;"",任务!G265&gt;任务!H265)))</f>
        <v>0</v>
      </c>
      <c r="F284" s="17">
        <f>IF($B284="",0,--(OR(任务!I265&lt;0,任务!I265&gt;100)))</f>
        <v>0</v>
      </c>
      <c r="G284" s="17">
        <f>IF($B284="",0,IF(ISNUMBER(SEARCH(",",任务!J265)),0,IF(任务!J265="",0,--(COUNTIF(任务!$A$2:$A$301,TRIM(任务!J265))=0))))</f>
        <v>0</v>
      </c>
      <c r="H284" s="17">
        <f>IF($B284="",0,--(NOT(ISNUMBER(任务!I265))))</f>
        <v>0</v>
      </c>
      <c r="I284" s="17">
        <f t="shared" si="9"/>
        <v>0</v>
      </c>
    </row>
    <row r="285" spans="1:9">
      <c r="A285" s="15">
        <f t="shared" si="8"/>
        <v>266</v>
      </c>
      <c r="B285" s="16" t="str">
        <f>IF(任务!A266="","",任务!A266)</f>
        <v/>
      </c>
      <c r="C285" s="17">
        <f>IF($B285="",0,--(COUNTIF(任务!$A$2:$A$301,$B285)&gt;1))</f>
        <v>0</v>
      </c>
      <c r="D285" s="17">
        <f>IF($B285="",0,--(OR(任务!B266="",任务!C266="",任务!E266="",任务!G266="",任务!H266="",NOT(ISNUMBER(任务!I266)))))</f>
        <v>0</v>
      </c>
      <c r="E285" s="17">
        <f>IF($B285="",0,--(AND(任务!G266&lt;&gt;"",任务!H266&lt;&gt;"",任务!G266&gt;任务!H266)))</f>
        <v>0</v>
      </c>
      <c r="F285" s="17">
        <f>IF($B285="",0,--(OR(任务!I266&lt;0,任务!I266&gt;100)))</f>
        <v>0</v>
      </c>
      <c r="G285" s="17">
        <f>IF($B285="",0,IF(ISNUMBER(SEARCH(",",任务!J266)),0,IF(任务!J266="",0,--(COUNTIF(任务!$A$2:$A$301,TRIM(任务!J266))=0))))</f>
        <v>0</v>
      </c>
      <c r="H285" s="17">
        <f>IF($B285="",0,--(NOT(ISNUMBER(任务!I266))))</f>
        <v>0</v>
      </c>
      <c r="I285" s="17">
        <f t="shared" si="9"/>
        <v>0</v>
      </c>
    </row>
    <row r="286" spans="1:9">
      <c r="A286" s="15">
        <f t="shared" si="8"/>
        <v>267</v>
      </c>
      <c r="B286" s="16" t="str">
        <f>IF(任务!A267="","",任务!A267)</f>
        <v/>
      </c>
      <c r="C286" s="17">
        <f>IF($B286="",0,--(COUNTIF(任务!$A$2:$A$301,$B286)&gt;1))</f>
        <v>0</v>
      </c>
      <c r="D286" s="17">
        <f>IF($B286="",0,--(OR(任务!B267="",任务!C267="",任务!E267="",任务!G267="",任务!H267="",NOT(ISNUMBER(任务!I267)))))</f>
        <v>0</v>
      </c>
      <c r="E286" s="17">
        <f>IF($B286="",0,--(AND(任务!G267&lt;&gt;"",任务!H267&lt;&gt;"",任务!G267&gt;任务!H267)))</f>
        <v>0</v>
      </c>
      <c r="F286" s="17">
        <f>IF($B286="",0,--(OR(任务!I267&lt;0,任务!I267&gt;100)))</f>
        <v>0</v>
      </c>
      <c r="G286" s="17">
        <f>IF($B286="",0,IF(ISNUMBER(SEARCH(",",任务!J267)),0,IF(任务!J267="",0,--(COUNTIF(任务!$A$2:$A$301,TRIM(任务!J267))=0))))</f>
        <v>0</v>
      </c>
      <c r="H286" s="17">
        <f>IF($B286="",0,--(NOT(ISNUMBER(任务!I267))))</f>
        <v>0</v>
      </c>
      <c r="I286" s="17">
        <f t="shared" si="9"/>
        <v>0</v>
      </c>
    </row>
    <row r="287" spans="1:9">
      <c r="A287" s="15">
        <f t="shared" si="8"/>
        <v>268</v>
      </c>
      <c r="B287" s="16" t="str">
        <f>IF(任务!A268="","",任务!A268)</f>
        <v/>
      </c>
      <c r="C287" s="17">
        <f>IF($B287="",0,--(COUNTIF(任务!$A$2:$A$301,$B287)&gt;1))</f>
        <v>0</v>
      </c>
      <c r="D287" s="17">
        <f>IF($B287="",0,--(OR(任务!B268="",任务!C268="",任务!E268="",任务!G268="",任务!H268="",NOT(ISNUMBER(任务!I268)))))</f>
        <v>0</v>
      </c>
      <c r="E287" s="17">
        <f>IF($B287="",0,--(AND(任务!G268&lt;&gt;"",任务!H268&lt;&gt;"",任务!G268&gt;任务!H268)))</f>
        <v>0</v>
      </c>
      <c r="F287" s="17">
        <f>IF($B287="",0,--(OR(任务!I268&lt;0,任务!I268&gt;100)))</f>
        <v>0</v>
      </c>
      <c r="G287" s="17">
        <f>IF($B287="",0,IF(ISNUMBER(SEARCH(",",任务!J268)),0,IF(任务!J268="",0,--(COUNTIF(任务!$A$2:$A$301,TRIM(任务!J268))=0))))</f>
        <v>0</v>
      </c>
      <c r="H287" s="17">
        <f>IF($B287="",0,--(NOT(ISNUMBER(任务!I268))))</f>
        <v>0</v>
      </c>
      <c r="I287" s="17">
        <f t="shared" si="9"/>
        <v>0</v>
      </c>
    </row>
    <row r="288" spans="1:9">
      <c r="A288" s="15">
        <f t="shared" si="8"/>
        <v>269</v>
      </c>
      <c r="B288" s="16" t="str">
        <f>IF(任务!A269="","",任务!A269)</f>
        <v/>
      </c>
      <c r="C288" s="17">
        <f>IF($B288="",0,--(COUNTIF(任务!$A$2:$A$301,$B288)&gt;1))</f>
        <v>0</v>
      </c>
      <c r="D288" s="17">
        <f>IF($B288="",0,--(OR(任务!B269="",任务!C269="",任务!E269="",任务!G269="",任务!H269="",NOT(ISNUMBER(任务!I269)))))</f>
        <v>0</v>
      </c>
      <c r="E288" s="17">
        <f>IF($B288="",0,--(AND(任务!G269&lt;&gt;"",任务!H269&lt;&gt;"",任务!G269&gt;任务!H269)))</f>
        <v>0</v>
      </c>
      <c r="F288" s="17">
        <f>IF($B288="",0,--(OR(任务!I269&lt;0,任务!I269&gt;100)))</f>
        <v>0</v>
      </c>
      <c r="G288" s="17">
        <f>IF($B288="",0,IF(ISNUMBER(SEARCH(",",任务!J269)),0,IF(任务!J269="",0,--(COUNTIF(任务!$A$2:$A$301,TRIM(任务!J269))=0))))</f>
        <v>0</v>
      </c>
      <c r="H288" s="17">
        <f>IF($B288="",0,--(NOT(ISNUMBER(任务!I269))))</f>
        <v>0</v>
      </c>
      <c r="I288" s="17">
        <f t="shared" si="9"/>
        <v>0</v>
      </c>
    </row>
    <row r="289" spans="1:9">
      <c r="A289" s="15">
        <f t="shared" si="8"/>
        <v>270</v>
      </c>
      <c r="B289" s="16" t="str">
        <f>IF(任务!A270="","",任务!A270)</f>
        <v/>
      </c>
      <c r="C289" s="17">
        <f>IF($B289="",0,--(COUNTIF(任务!$A$2:$A$301,$B289)&gt;1))</f>
        <v>0</v>
      </c>
      <c r="D289" s="17">
        <f>IF($B289="",0,--(OR(任务!B270="",任务!C270="",任务!E270="",任务!G270="",任务!H270="",NOT(ISNUMBER(任务!I270)))))</f>
        <v>0</v>
      </c>
      <c r="E289" s="17">
        <f>IF($B289="",0,--(AND(任务!G270&lt;&gt;"",任务!H270&lt;&gt;"",任务!G270&gt;任务!H270)))</f>
        <v>0</v>
      </c>
      <c r="F289" s="17">
        <f>IF($B289="",0,--(OR(任务!I270&lt;0,任务!I270&gt;100)))</f>
        <v>0</v>
      </c>
      <c r="G289" s="17">
        <f>IF($B289="",0,IF(ISNUMBER(SEARCH(",",任务!J270)),0,IF(任务!J270="",0,--(COUNTIF(任务!$A$2:$A$301,TRIM(任务!J270))=0))))</f>
        <v>0</v>
      </c>
      <c r="H289" s="17">
        <f>IF($B289="",0,--(NOT(ISNUMBER(任务!I270))))</f>
        <v>0</v>
      </c>
      <c r="I289" s="17">
        <f t="shared" si="9"/>
        <v>0</v>
      </c>
    </row>
    <row r="290" spans="1:9">
      <c r="A290" s="15">
        <f t="shared" si="8"/>
        <v>271</v>
      </c>
      <c r="B290" s="16" t="str">
        <f>IF(任务!A271="","",任务!A271)</f>
        <v/>
      </c>
      <c r="C290" s="17">
        <f>IF($B290="",0,--(COUNTIF(任务!$A$2:$A$301,$B290)&gt;1))</f>
        <v>0</v>
      </c>
      <c r="D290" s="17">
        <f>IF($B290="",0,--(OR(任务!B271="",任务!C271="",任务!E271="",任务!G271="",任务!H271="",NOT(ISNUMBER(任务!I271)))))</f>
        <v>0</v>
      </c>
      <c r="E290" s="17">
        <f>IF($B290="",0,--(AND(任务!G271&lt;&gt;"",任务!H271&lt;&gt;"",任务!G271&gt;任务!H271)))</f>
        <v>0</v>
      </c>
      <c r="F290" s="17">
        <f>IF($B290="",0,--(OR(任务!I271&lt;0,任务!I271&gt;100)))</f>
        <v>0</v>
      </c>
      <c r="G290" s="17">
        <f>IF($B290="",0,IF(ISNUMBER(SEARCH(",",任务!J271)),0,IF(任务!J271="",0,--(COUNTIF(任务!$A$2:$A$301,TRIM(任务!J271))=0))))</f>
        <v>0</v>
      </c>
      <c r="H290" s="17">
        <f>IF($B290="",0,--(NOT(ISNUMBER(任务!I271))))</f>
        <v>0</v>
      </c>
      <c r="I290" s="17">
        <f t="shared" si="9"/>
        <v>0</v>
      </c>
    </row>
    <row r="291" spans="1:9">
      <c r="A291" s="15">
        <f t="shared" si="8"/>
        <v>272</v>
      </c>
      <c r="B291" s="16" t="str">
        <f>IF(任务!A272="","",任务!A272)</f>
        <v/>
      </c>
      <c r="C291" s="17">
        <f>IF($B291="",0,--(COUNTIF(任务!$A$2:$A$301,$B291)&gt;1))</f>
        <v>0</v>
      </c>
      <c r="D291" s="17">
        <f>IF($B291="",0,--(OR(任务!B272="",任务!C272="",任务!E272="",任务!G272="",任务!H272="",NOT(ISNUMBER(任务!I272)))))</f>
        <v>0</v>
      </c>
      <c r="E291" s="17">
        <f>IF($B291="",0,--(AND(任务!G272&lt;&gt;"",任务!H272&lt;&gt;"",任务!G272&gt;任务!H272)))</f>
        <v>0</v>
      </c>
      <c r="F291" s="17">
        <f>IF($B291="",0,--(OR(任务!I272&lt;0,任务!I272&gt;100)))</f>
        <v>0</v>
      </c>
      <c r="G291" s="17">
        <f>IF($B291="",0,IF(ISNUMBER(SEARCH(",",任务!J272)),0,IF(任务!J272="",0,--(COUNTIF(任务!$A$2:$A$301,TRIM(任务!J272))=0))))</f>
        <v>0</v>
      </c>
      <c r="H291" s="17">
        <f>IF($B291="",0,--(NOT(ISNUMBER(任务!I272))))</f>
        <v>0</v>
      </c>
      <c r="I291" s="17">
        <f t="shared" si="9"/>
        <v>0</v>
      </c>
    </row>
    <row r="292" spans="1:9">
      <c r="A292" s="15">
        <f t="shared" si="8"/>
        <v>273</v>
      </c>
      <c r="B292" s="16" t="str">
        <f>IF(任务!A273="","",任务!A273)</f>
        <v/>
      </c>
      <c r="C292" s="17">
        <f>IF($B292="",0,--(COUNTIF(任务!$A$2:$A$301,$B292)&gt;1))</f>
        <v>0</v>
      </c>
      <c r="D292" s="17">
        <f>IF($B292="",0,--(OR(任务!B273="",任务!C273="",任务!E273="",任务!G273="",任务!H273="",NOT(ISNUMBER(任务!I273)))))</f>
        <v>0</v>
      </c>
      <c r="E292" s="17">
        <f>IF($B292="",0,--(AND(任务!G273&lt;&gt;"",任务!H273&lt;&gt;"",任务!G273&gt;任务!H273)))</f>
        <v>0</v>
      </c>
      <c r="F292" s="17">
        <f>IF($B292="",0,--(OR(任务!I273&lt;0,任务!I273&gt;100)))</f>
        <v>0</v>
      </c>
      <c r="G292" s="17">
        <f>IF($B292="",0,IF(ISNUMBER(SEARCH(",",任务!J273)),0,IF(任务!J273="",0,--(COUNTIF(任务!$A$2:$A$301,TRIM(任务!J273))=0))))</f>
        <v>0</v>
      </c>
      <c r="H292" s="17">
        <f>IF($B292="",0,--(NOT(ISNUMBER(任务!I273))))</f>
        <v>0</v>
      </c>
      <c r="I292" s="17">
        <f t="shared" si="9"/>
        <v>0</v>
      </c>
    </row>
    <row r="293" spans="1:9">
      <c r="A293" s="15">
        <f t="shared" si="8"/>
        <v>274</v>
      </c>
      <c r="B293" s="16" t="str">
        <f>IF(任务!A274="","",任务!A274)</f>
        <v/>
      </c>
      <c r="C293" s="17">
        <f>IF($B293="",0,--(COUNTIF(任务!$A$2:$A$301,$B293)&gt;1))</f>
        <v>0</v>
      </c>
      <c r="D293" s="17">
        <f>IF($B293="",0,--(OR(任务!B274="",任务!C274="",任务!E274="",任务!G274="",任务!H274="",NOT(ISNUMBER(任务!I274)))))</f>
        <v>0</v>
      </c>
      <c r="E293" s="17">
        <f>IF($B293="",0,--(AND(任务!G274&lt;&gt;"",任务!H274&lt;&gt;"",任务!G274&gt;任务!H274)))</f>
        <v>0</v>
      </c>
      <c r="F293" s="17">
        <f>IF($B293="",0,--(OR(任务!I274&lt;0,任务!I274&gt;100)))</f>
        <v>0</v>
      </c>
      <c r="G293" s="17">
        <f>IF($B293="",0,IF(ISNUMBER(SEARCH(",",任务!J274)),0,IF(任务!J274="",0,--(COUNTIF(任务!$A$2:$A$301,TRIM(任务!J274))=0))))</f>
        <v>0</v>
      </c>
      <c r="H293" s="17">
        <f>IF($B293="",0,--(NOT(ISNUMBER(任务!I274))))</f>
        <v>0</v>
      </c>
      <c r="I293" s="17">
        <f t="shared" si="9"/>
        <v>0</v>
      </c>
    </row>
    <row r="294" spans="1:9">
      <c r="A294" s="15">
        <f t="shared" si="8"/>
        <v>275</v>
      </c>
      <c r="B294" s="16" t="str">
        <f>IF(任务!A275="","",任务!A275)</f>
        <v/>
      </c>
      <c r="C294" s="17">
        <f>IF($B294="",0,--(COUNTIF(任务!$A$2:$A$301,$B294)&gt;1))</f>
        <v>0</v>
      </c>
      <c r="D294" s="17">
        <f>IF($B294="",0,--(OR(任务!B275="",任务!C275="",任务!E275="",任务!G275="",任务!H275="",NOT(ISNUMBER(任务!I275)))))</f>
        <v>0</v>
      </c>
      <c r="E294" s="17">
        <f>IF($B294="",0,--(AND(任务!G275&lt;&gt;"",任务!H275&lt;&gt;"",任务!G275&gt;任务!H275)))</f>
        <v>0</v>
      </c>
      <c r="F294" s="17">
        <f>IF($B294="",0,--(OR(任务!I275&lt;0,任务!I275&gt;100)))</f>
        <v>0</v>
      </c>
      <c r="G294" s="17">
        <f>IF($B294="",0,IF(ISNUMBER(SEARCH(",",任务!J275)),0,IF(任务!J275="",0,--(COUNTIF(任务!$A$2:$A$301,TRIM(任务!J275))=0))))</f>
        <v>0</v>
      </c>
      <c r="H294" s="17">
        <f>IF($B294="",0,--(NOT(ISNUMBER(任务!I275))))</f>
        <v>0</v>
      </c>
      <c r="I294" s="17">
        <f t="shared" si="9"/>
        <v>0</v>
      </c>
    </row>
    <row r="295" spans="1:9">
      <c r="A295" s="15">
        <f t="shared" si="8"/>
        <v>276</v>
      </c>
      <c r="B295" s="16" t="str">
        <f>IF(任务!A276="","",任务!A276)</f>
        <v/>
      </c>
      <c r="C295" s="17">
        <f>IF($B295="",0,--(COUNTIF(任务!$A$2:$A$301,$B295)&gt;1))</f>
        <v>0</v>
      </c>
      <c r="D295" s="17">
        <f>IF($B295="",0,--(OR(任务!B276="",任务!C276="",任务!E276="",任务!G276="",任务!H276="",NOT(ISNUMBER(任务!I276)))))</f>
        <v>0</v>
      </c>
      <c r="E295" s="17">
        <f>IF($B295="",0,--(AND(任务!G276&lt;&gt;"",任务!H276&lt;&gt;"",任务!G276&gt;任务!H276)))</f>
        <v>0</v>
      </c>
      <c r="F295" s="17">
        <f>IF($B295="",0,--(OR(任务!I276&lt;0,任务!I276&gt;100)))</f>
        <v>0</v>
      </c>
      <c r="G295" s="17">
        <f>IF($B295="",0,IF(ISNUMBER(SEARCH(",",任务!J276)),0,IF(任务!J276="",0,--(COUNTIF(任务!$A$2:$A$301,TRIM(任务!J276))=0))))</f>
        <v>0</v>
      </c>
      <c r="H295" s="17">
        <f>IF($B295="",0,--(NOT(ISNUMBER(任务!I276))))</f>
        <v>0</v>
      </c>
      <c r="I295" s="17">
        <f t="shared" si="9"/>
        <v>0</v>
      </c>
    </row>
    <row r="296" spans="1:9">
      <c r="A296" s="15">
        <f t="shared" si="8"/>
        <v>277</v>
      </c>
      <c r="B296" s="16" t="str">
        <f>IF(任务!A277="","",任务!A277)</f>
        <v/>
      </c>
      <c r="C296" s="17">
        <f>IF($B296="",0,--(COUNTIF(任务!$A$2:$A$301,$B296)&gt;1))</f>
        <v>0</v>
      </c>
      <c r="D296" s="17">
        <f>IF($B296="",0,--(OR(任务!B277="",任务!C277="",任务!E277="",任务!G277="",任务!H277="",NOT(ISNUMBER(任务!I277)))))</f>
        <v>0</v>
      </c>
      <c r="E296" s="17">
        <f>IF($B296="",0,--(AND(任务!G277&lt;&gt;"",任务!H277&lt;&gt;"",任务!G277&gt;任务!H277)))</f>
        <v>0</v>
      </c>
      <c r="F296" s="17">
        <f>IF($B296="",0,--(OR(任务!I277&lt;0,任务!I277&gt;100)))</f>
        <v>0</v>
      </c>
      <c r="G296" s="17">
        <f>IF($B296="",0,IF(ISNUMBER(SEARCH(",",任务!J277)),0,IF(任务!J277="",0,--(COUNTIF(任务!$A$2:$A$301,TRIM(任务!J277))=0))))</f>
        <v>0</v>
      </c>
      <c r="H296" s="17">
        <f>IF($B296="",0,--(NOT(ISNUMBER(任务!I277))))</f>
        <v>0</v>
      </c>
      <c r="I296" s="17">
        <f t="shared" si="9"/>
        <v>0</v>
      </c>
    </row>
    <row r="297" spans="1:9">
      <c r="A297" s="15">
        <f t="shared" si="8"/>
        <v>278</v>
      </c>
      <c r="B297" s="16" t="str">
        <f>IF(任务!A278="","",任务!A278)</f>
        <v/>
      </c>
      <c r="C297" s="17">
        <f>IF($B297="",0,--(COUNTIF(任务!$A$2:$A$301,$B297)&gt;1))</f>
        <v>0</v>
      </c>
      <c r="D297" s="17">
        <f>IF($B297="",0,--(OR(任务!B278="",任务!C278="",任务!E278="",任务!G278="",任务!H278="",NOT(ISNUMBER(任务!I278)))))</f>
        <v>0</v>
      </c>
      <c r="E297" s="17">
        <f>IF($B297="",0,--(AND(任务!G278&lt;&gt;"",任务!H278&lt;&gt;"",任务!G278&gt;任务!H278)))</f>
        <v>0</v>
      </c>
      <c r="F297" s="17">
        <f>IF($B297="",0,--(OR(任务!I278&lt;0,任务!I278&gt;100)))</f>
        <v>0</v>
      </c>
      <c r="G297" s="17">
        <f>IF($B297="",0,IF(ISNUMBER(SEARCH(",",任务!J278)),0,IF(任务!J278="",0,--(COUNTIF(任务!$A$2:$A$301,TRIM(任务!J278))=0))))</f>
        <v>0</v>
      </c>
      <c r="H297" s="17">
        <f>IF($B297="",0,--(NOT(ISNUMBER(任务!I278))))</f>
        <v>0</v>
      </c>
      <c r="I297" s="17">
        <f t="shared" si="9"/>
        <v>0</v>
      </c>
    </row>
    <row r="298" spans="1:9">
      <c r="A298" s="15">
        <f t="shared" si="8"/>
        <v>279</v>
      </c>
      <c r="B298" s="16" t="str">
        <f>IF(任务!A279="","",任务!A279)</f>
        <v/>
      </c>
      <c r="C298" s="17">
        <f>IF($B298="",0,--(COUNTIF(任务!$A$2:$A$301,$B298)&gt;1))</f>
        <v>0</v>
      </c>
      <c r="D298" s="17">
        <f>IF($B298="",0,--(OR(任务!B279="",任务!C279="",任务!E279="",任务!G279="",任务!H279="",NOT(ISNUMBER(任务!I279)))))</f>
        <v>0</v>
      </c>
      <c r="E298" s="17">
        <f>IF($B298="",0,--(AND(任务!G279&lt;&gt;"",任务!H279&lt;&gt;"",任务!G279&gt;任务!H279)))</f>
        <v>0</v>
      </c>
      <c r="F298" s="17">
        <f>IF($B298="",0,--(OR(任务!I279&lt;0,任务!I279&gt;100)))</f>
        <v>0</v>
      </c>
      <c r="G298" s="17">
        <f>IF($B298="",0,IF(ISNUMBER(SEARCH(",",任务!J279)),0,IF(任务!J279="",0,--(COUNTIF(任务!$A$2:$A$301,TRIM(任务!J279))=0))))</f>
        <v>0</v>
      </c>
      <c r="H298" s="17">
        <f>IF($B298="",0,--(NOT(ISNUMBER(任务!I279))))</f>
        <v>0</v>
      </c>
      <c r="I298" s="17">
        <f t="shared" si="9"/>
        <v>0</v>
      </c>
    </row>
    <row r="299" spans="1:9">
      <c r="A299" s="15">
        <f t="shared" si="8"/>
        <v>280</v>
      </c>
      <c r="B299" s="16" t="str">
        <f>IF(任务!A280="","",任务!A280)</f>
        <v/>
      </c>
      <c r="C299" s="17">
        <f>IF($B299="",0,--(COUNTIF(任务!$A$2:$A$301,$B299)&gt;1))</f>
        <v>0</v>
      </c>
      <c r="D299" s="17">
        <f>IF($B299="",0,--(OR(任务!B280="",任务!C280="",任务!E280="",任务!G280="",任务!H280="",NOT(ISNUMBER(任务!I280)))))</f>
        <v>0</v>
      </c>
      <c r="E299" s="17">
        <f>IF($B299="",0,--(AND(任务!G280&lt;&gt;"",任务!H280&lt;&gt;"",任务!G280&gt;任务!H280)))</f>
        <v>0</v>
      </c>
      <c r="F299" s="17">
        <f>IF($B299="",0,--(OR(任务!I280&lt;0,任务!I280&gt;100)))</f>
        <v>0</v>
      </c>
      <c r="G299" s="17">
        <f>IF($B299="",0,IF(ISNUMBER(SEARCH(",",任务!J280)),0,IF(任务!J280="",0,--(COUNTIF(任务!$A$2:$A$301,TRIM(任务!J280))=0))))</f>
        <v>0</v>
      </c>
      <c r="H299" s="17">
        <f>IF($B299="",0,--(NOT(ISNUMBER(任务!I280))))</f>
        <v>0</v>
      </c>
      <c r="I299" s="17">
        <f t="shared" si="9"/>
        <v>0</v>
      </c>
    </row>
    <row r="300" spans="1:9">
      <c r="A300" s="15">
        <f t="shared" si="8"/>
        <v>281</v>
      </c>
      <c r="B300" s="16" t="str">
        <f>IF(任务!A281="","",任务!A281)</f>
        <v/>
      </c>
      <c r="C300" s="17">
        <f>IF($B300="",0,--(COUNTIF(任务!$A$2:$A$301,$B300)&gt;1))</f>
        <v>0</v>
      </c>
      <c r="D300" s="17">
        <f>IF($B300="",0,--(OR(任务!B281="",任务!C281="",任务!E281="",任务!G281="",任务!H281="",NOT(ISNUMBER(任务!I281)))))</f>
        <v>0</v>
      </c>
      <c r="E300" s="17">
        <f>IF($B300="",0,--(AND(任务!G281&lt;&gt;"",任务!H281&lt;&gt;"",任务!G281&gt;任务!H281)))</f>
        <v>0</v>
      </c>
      <c r="F300" s="17">
        <f>IF($B300="",0,--(OR(任务!I281&lt;0,任务!I281&gt;100)))</f>
        <v>0</v>
      </c>
      <c r="G300" s="17">
        <f>IF($B300="",0,IF(ISNUMBER(SEARCH(",",任务!J281)),0,IF(任务!J281="",0,--(COUNTIF(任务!$A$2:$A$301,TRIM(任务!J281))=0))))</f>
        <v>0</v>
      </c>
      <c r="H300" s="17">
        <f>IF($B300="",0,--(NOT(ISNUMBER(任务!I281))))</f>
        <v>0</v>
      </c>
      <c r="I300" s="17">
        <f t="shared" si="9"/>
        <v>0</v>
      </c>
    </row>
    <row r="301" spans="1:9">
      <c r="A301" s="15">
        <f t="shared" si="8"/>
        <v>282</v>
      </c>
      <c r="B301" s="16" t="str">
        <f>IF(任务!A282="","",任务!A282)</f>
        <v/>
      </c>
      <c r="C301" s="17">
        <f>IF($B301="",0,--(COUNTIF(任务!$A$2:$A$301,$B301)&gt;1))</f>
        <v>0</v>
      </c>
      <c r="D301" s="17">
        <f>IF($B301="",0,--(OR(任务!B282="",任务!C282="",任务!E282="",任务!G282="",任务!H282="",NOT(ISNUMBER(任务!I282)))))</f>
        <v>0</v>
      </c>
      <c r="E301" s="17">
        <f>IF($B301="",0,--(AND(任务!G282&lt;&gt;"",任务!H282&lt;&gt;"",任务!G282&gt;任务!H282)))</f>
        <v>0</v>
      </c>
      <c r="F301" s="17">
        <f>IF($B301="",0,--(OR(任务!I282&lt;0,任务!I282&gt;100)))</f>
        <v>0</v>
      </c>
      <c r="G301" s="17">
        <f>IF($B301="",0,IF(ISNUMBER(SEARCH(",",任务!J282)),0,IF(任务!J282="",0,--(COUNTIF(任务!$A$2:$A$301,TRIM(任务!J282))=0))))</f>
        <v>0</v>
      </c>
      <c r="H301" s="17">
        <f>IF($B301="",0,--(NOT(ISNUMBER(任务!I282))))</f>
        <v>0</v>
      </c>
      <c r="I301" s="17">
        <f t="shared" si="9"/>
        <v>0</v>
      </c>
    </row>
    <row r="302" spans="1:9">
      <c r="A302" s="15">
        <f t="shared" si="8"/>
        <v>283</v>
      </c>
      <c r="B302" s="16" t="str">
        <f>IF(任务!A283="","",任务!A283)</f>
        <v/>
      </c>
      <c r="C302" s="17">
        <f>IF($B302="",0,--(COUNTIF(任务!$A$2:$A$301,$B302)&gt;1))</f>
        <v>0</v>
      </c>
      <c r="D302" s="17">
        <f>IF($B302="",0,--(OR(任务!B283="",任务!C283="",任务!E283="",任务!G283="",任务!H283="",NOT(ISNUMBER(任务!I283)))))</f>
        <v>0</v>
      </c>
      <c r="E302" s="17">
        <f>IF($B302="",0,--(AND(任务!G283&lt;&gt;"",任务!H283&lt;&gt;"",任务!G283&gt;任务!H283)))</f>
        <v>0</v>
      </c>
      <c r="F302" s="17">
        <f>IF($B302="",0,--(OR(任务!I283&lt;0,任务!I283&gt;100)))</f>
        <v>0</v>
      </c>
      <c r="G302" s="17">
        <f>IF($B302="",0,IF(ISNUMBER(SEARCH(",",任务!J283)),0,IF(任务!J283="",0,--(COUNTIF(任务!$A$2:$A$301,TRIM(任务!J283))=0))))</f>
        <v>0</v>
      </c>
      <c r="H302" s="17">
        <f>IF($B302="",0,--(NOT(ISNUMBER(任务!I283))))</f>
        <v>0</v>
      </c>
      <c r="I302" s="17">
        <f t="shared" si="9"/>
        <v>0</v>
      </c>
    </row>
    <row r="303" spans="1:9">
      <c r="A303" s="15">
        <f t="shared" si="8"/>
        <v>284</v>
      </c>
      <c r="B303" s="16" t="str">
        <f>IF(任务!A284="","",任务!A284)</f>
        <v/>
      </c>
      <c r="C303" s="17">
        <f>IF($B303="",0,--(COUNTIF(任务!$A$2:$A$301,$B303)&gt;1))</f>
        <v>0</v>
      </c>
      <c r="D303" s="17">
        <f>IF($B303="",0,--(OR(任务!B284="",任务!C284="",任务!E284="",任务!G284="",任务!H284="",NOT(ISNUMBER(任务!I284)))))</f>
        <v>0</v>
      </c>
      <c r="E303" s="17">
        <f>IF($B303="",0,--(AND(任务!G284&lt;&gt;"",任务!H284&lt;&gt;"",任务!G284&gt;任务!H284)))</f>
        <v>0</v>
      </c>
      <c r="F303" s="17">
        <f>IF($B303="",0,--(OR(任务!I284&lt;0,任务!I284&gt;100)))</f>
        <v>0</v>
      </c>
      <c r="G303" s="17">
        <f>IF($B303="",0,IF(ISNUMBER(SEARCH(",",任务!J284)),0,IF(任务!J284="",0,--(COUNTIF(任务!$A$2:$A$301,TRIM(任务!J284))=0))))</f>
        <v>0</v>
      </c>
      <c r="H303" s="17">
        <f>IF($B303="",0,--(NOT(ISNUMBER(任务!I284))))</f>
        <v>0</v>
      </c>
      <c r="I303" s="17">
        <f t="shared" si="9"/>
        <v>0</v>
      </c>
    </row>
    <row r="304" spans="1:9">
      <c r="A304" s="15">
        <f t="shared" si="8"/>
        <v>285</v>
      </c>
      <c r="B304" s="16" t="str">
        <f>IF(任务!A285="","",任务!A285)</f>
        <v/>
      </c>
      <c r="C304" s="17">
        <f>IF($B304="",0,--(COUNTIF(任务!$A$2:$A$301,$B304)&gt;1))</f>
        <v>0</v>
      </c>
      <c r="D304" s="17">
        <f>IF($B304="",0,--(OR(任务!B285="",任务!C285="",任务!E285="",任务!G285="",任务!H285="",NOT(ISNUMBER(任务!I285)))))</f>
        <v>0</v>
      </c>
      <c r="E304" s="17">
        <f>IF($B304="",0,--(AND(任务!G285&lt;&gt;"",任务!H285&lt;&gt;"",任务!G285&gt;任务!H285)))</f>
        <v>0</v>
      </c>
      <c r="F304" s="17">
        <f>IF($B304="",0,--(OR(任务!I285&lt;0,任务!I285&gt;100)))</f>
        <v>0</v>
      </c>
      <c r="G304" s="17">
        <f>IF($B304="",0,IF(ISNUMBER(SEARCH(",",任务!J285)),0,IF(任务!J285="",0,--(COUNTIF(任务!$A$2:$A$301,TRIM(任务!J285))=0))))</f>
        <v>0</v>
      </c>
      <c r="H304" s="17">
        <f>IF($B304="",0,--(NOT(ISNUMBER(任务!I285))))</f>
        <v>0</v>
      </c>
      <c r="I304" s="17">
        <f t="shared" si="9"/>
        <v>0</v>
      </c>
    </row>
    <row r="305" spans="1:9">
      <c r="A305" s="15">
        <f t="shared" si="8"/>
        <v>286</v>
      </c>
      <c r="B305" s="16" t="str">
        <f>IF(任务!A286="","",任务!A286)</f>
        <v/>
      </c>
      <c r="C305" s="17">
        <f>IF($B305="",0,--(COUNTIF(任务!$A$2:$A$301,$B305)&gt;1))</f>
        <v>0</v>
      </c>
      <c r="D305" s="17">
        <f>IF($B305="",0,--(OR(任务!B286="",任务!C286="",任务!E286="",任务!G286="",任务!H286="",NOT(ISNUMBER(任务!I286)))))</f>
        <v>0</v>
      </c>
      <c r="E305" s="17">
        <f>IF($B305="",0,--(AND(任务!G286&lt;&gt;"",任务!H286&lt;&gt;"",任务!G286&gt;任务!H286)))</f>
        <v>0</v>
      </c>
      <c r="F305" s="17">
        <f>IF($B305="",0,--(OR(任务!I286&lt;0,任务!I286&gt;100)))</f>
        <v>0</v>
      </c>
      <c r="G305" s="17">
        <f>IF($B305="",0,IF(ISNUMBER(SEARCH(",",任务!J286)),0,IF(任务!J286="",0,--(COUNTIF(任务!$A$2:$A$301,TRIM(任务!J286))=0))))</f>
        <v>0</v>
      </c>
      <c r="H305" s="17">
        <f>IF($B305="",0,--(NOT(ISNUMBER(任务!I286))))</f>
        <v>0</v>
      </c>
      <c r="I305" s="17">
        <f t="shared" si="9"/>
        <v>0</v>
      </c>
    </row>
    <row r="306" spans="1:9">
      <c r="A306" s="15">
        <f t="shared" si="8"/>
        <v>287</v>
      </c>
      <c r="B306" s="16" t="str">
        <f>IF(任务!A287="","",任务!A287)</f>
        <v/>
      </c>
      <c r="C306" s="17">
        <f>IF($B306="",0,--(COUNTIF(任务!$A$2:$A$301,$B306)&gt;1))</f>
        <v>0</v>
      </c>
      <c r="D306" s="17">
        <f>IF($B306="",0,--(OR(任务!B287="",任务!C287="",任务!E287="",任务!G287="",任务!H287="",NOT(ISNUMBER(任务!I287)))))</f>
        <v>0</v>
      </c>
      <c r="E306" s="17">
        <f>IF($B306="",0,--(AND(任务!G287&lt;&gt;"",任务!H287&lt;&gt;"",任务!G287&gt;任务!H287)))</f>
        <v>0</v>
      </c>
      <c r="F306" s="17">
        <f>IF($B306="",0,--(OR(任务!I287&lt;0,任务!I287&gt;100)))</f>
        <v>0</v>
      </c>
      <c r="G306" s="17">
        <f>IF($B306="",0,IF(ISNUMBER(SEARCH(",",任务!J287)),0,IF(任务!J287="",0,--(COUNTIF(任务!$A$2:$A$301,TRIM(任务!J287))=0))))</f>
        <v>0</v>
      </c>
      <c r="H306" s="17">
        <f>IF($B306="",0,--(NOT(ISNUMBER(任务!I287))))</f>
        <v>0</v>
      </c>
      <c r="I306" s="17">
        <f t="shared" si="9"/>
        <v>0</v>
      </c>
    </row>
    <row r="307" spans="1:9">
      <c r="A307" s="15">
        <f t="shared" si="8"/>
        <v>288</v>
      </c>
      <c r="B307" s="16" t="str">
        <f>IF(任务!A288="","",任务!A288)</f>
        <v/>
      </c>
      <c r="C307" s="17">
        <f>IF($B307="",0,--(COUNTIF(任务!$A$2:$A$301,$B307)&gt;1))</f>
        <v>0</v>
      </c>
      <c r="D307" s="17">
        <f>IF($B307="",0,--(OR(任务!B288="",任务!C288="",任务!E288="",任务!G288="",任务!H288="",NOT(ISNUMBER(任务!I288)))))</f>
        <v>0</v>
      </c>
      <c r="E307" s="17">
        <f>IF($B307="",0,--(AND(任务!G288&lt;&gt;"",任务!H288&lt;&gt;"",任务!G288&gt;任务!H288)))</f>
        <v>0</v>
      </c>
      <c r="F307" s="17">
        <f>IF($B307="",0,--(OR(任务!I288&lt;0,任务!I288&gt;100)))</f>
        <v>0</v>
      </c>
      <c r="G307" s="17">
        <f>IF($B307="",0,IF(ISNUMBER(SEARCH(",",任务!J288)),0,IF(任务!J288="",0,--(COUNTIF(任务!$A$2:$A$301,TRIM(任务!J288))=0))))</f>
        <v>0</v>
      </c>
      <c r="H307" s="17">
        <f>IF($B307="",0,--(NOT(ISNUMBER(任务!I288))))</f>
        <v>0</v>
      </c>
      <c r="I307" s="17">
        <f t="shared" si="9"/>
        <v>0</v>
      </c>
    </row>
    <row r="308" spans="1:9">
      <c r="A308" s="15">
        <f t="shared" si="8"/>
        <v>289</v>
      </c>
      <c r="B308" s="16" t="str">
        <f>IF(任务!A289="","",任务!A289)</f>
        <v/>
      </c>
      <c r="C308" s="17">
        <f>IF($B308="",0,--(COUNTIF(任务!$A$2:$A$301,$B308)&gt;1))</f>
        <v>0</v>
      </c>
      <c r="D308" s="17">
        <f>IF($B308="",0,--(OR(任务!B289="",任务!C289="",任务!E289="",任务!G289="",任务!H289="",NOT(ISNUMBER(任务!I289)))))</f>
        <v>0</v>
      </c>
      <c r="E308" s="17">
        <f>IF($B308="",0,--(AND(任务!G289&lt;&gt;"",任务!H289&lt;&gt;"",任务!G289&gt;任务!H289)))</f>
        <v>0</v>
      </c>
      <c r="F308" s="17">
        <f>IF($B308="",0,--(OR(任务!I289&lt;0,任务!I289&gt;100)))</f>
        <v>0</v>
      </c>
      <c r="G308" s="17">
        <f>IF($B308="",0,IF(ISNUMBER(SEARCH(",",任务!J289)),0,IF(任务!J289="",0,--(COUNTIF(任务!$A$2:$A$301,TRIM(任务!J289))=0))))</f>
        <v>0</v>
      </c>
      <c r="H308" s="17">
        <f>IF($B308="",0,--(NOT(ISNUMBER(任务!I289))))</f>
        <v>0</v>
      </c>
      <c r="I308" s="17">
        <f t="shared" si="9"/>
        <v>0</v>
      </c>
    </row>
    <row r="309" spans="1:9">
      <c r="A309" s="15">
        <f t="shared" si="8"/>
        <v>290</v>
      </c>
      <c r="B309" s="16" t="str">
        <f>IF(任务!A290="","",任务!A290)</f>
        <v/>
      </c>
      <c r="C309" s="17">
        <f>IF($B309="",0,--(COUNTIF(任务!$A$2:$A$301,$B309)&gt;1))</f>
        <v>0</v>
      </c>
      <c r="D309" s="17">
        <f>IF($B309="",0,--(OR(任务!B290="",任务!C290="",任务!E290="",任务!G290="",任务!H290="",NOT(ISNUMBER(任务!I290)))))</f>
        <v>0</v>
      </c>
      <c r="E309" s="17">
        <f>IF($B309="",0,--(AND(任务!G290&lt;&gt;"",任务!H290&lt;&gt;"",任务!G290&gt;任务!H290)))</f>
        <v>0</v>
      </c>
      <c r="F309" s="17">
        <f>IF($B309="",0,--(OR(任务!I290&lt;0,任务!I290&gt;100)))</f>
        <v>0</v>
      </c>
      <c r="G309" s="17">
        <f>IF($B309="",0,IF(ISNUMBER(SEARCH(",",任务!J290)),0,IF(任务!J290="",0,--(COUNTIF(任务!$A$2:$A$301,TRIM(任务!J290))=0))))</f>
        <v>0</v>
      </c>
      <c r="H309" s="17">
        <f>IF($B309="",0,--(NOT(ISNUMBER(任务!I290))))</f>
        <v>0</v>
      </c>
      <c r="I309" s="17">
        <f t="shared" si="9"/>
        <v>0</v>
      </c>
    </row>
    <row r="310" spans="1:9">
      <c r="A310" s="15">
        <f t="shared" si="8"/>
        <v>291</v>
      </c>
      <c r="B310" s="16" t="str">
        <f>IF(任务!A291="","",任务!A291)</f>
        <v/>
      </c>
      <c r="C310" s="17">
        <f>IF($B310="",0,--(COUNTIF(任务!$A$2:$A$301,$B310)&gt;1))</f>
        <v>0</v>
      </c>
      <c r="D310" s="17">
        <f>IF($B310="",0,--(OR(任务!B291="",任务!C291="",任务!E291="",任务!G291="",任务!H291="",NOT(ISNUMBER(任务!I291)))))</f>
        <v>0</v>
      </c>
      <c r="E310" s="17">
        <f>IF($B310="",0,--(AND(任务!G291&lt;&gt;"",任务!H291&lt;&gt;"",任务!G291&gt;任务!H291)))</f>
        <v>0</v>
      </c>
      <c r="F310" s="17">
        <f>IF($B310="",0,--(OR(任务!I291&lt;0,任务!I291&gt;100)))</f>
        <v>0</v>
      </c>
      <c r="G310" s="17">
        <f>IF($B310="",0,IF(ISNUMBER(SEARCH(",",任务!J291)),0,IF(任务!J291="",0,--(COUNTIF(任务!$A$2:$A$301,TRIM(任务!J291))=0))))</f>
        <v>0</v>
      </c>
      <c r="H310" s="17">
        <f>IF($B310="",0,--(NOT(ISNUMBER(任务!I291))))</f>
        <v>0</v>
      </c>
      <c r="I310" s="17">
        <f t="shared" si="9"/>
        <v>0</v>
      </c>
    </row>
    <row r="311" spans="1:9">
      <c r="A311" s="15">
        <f t="shared" si="8"/>
        <v>292</v>
      </c>
      <c r="B311" s="16" t="str">
        <f>IF(任务!A292="","",任务!A292)</f>
        <v/>
      </c>
      <c r="C311" s="17">
        <f>IF($B311="",0,--(COUNTIF(任务!$A$2:$A$301,$B311)&gt;1))</f>
        <v>0</v>
      </c>
      <c r="D311" s="17">
        <f>IF($B311="",0,--(OR(任务!B292="",任务!C292="",任务!E292="",任务!G292="",任务!H292="",NOT(ISNUMBER(任务!I292)))))</f>
        <v>0</v>
      </c>
      <c r="E311" s="17">
        <f>IF($B311="",0,--(AND(任务!G292&lt;&gt;"",任务!H292&lt;&gt;"",任务!G292&gt;任务!H292)))</f>
        <v>0</v>
      </c>
      <c r="F311" s="17">
        <f>IF($B311="",0,--(OR(任务!I292&lt;0,任务!I292&gt;100)))</f>
        <v>0</v>
      </c>
      <c r="G311" s="17">
        <f>IF($B311="",0,IF(ISNUMBER(SEARCH(",",任务!J292)),0,IF(任务!J292="",0,--(COUNTIF(任务!$A$2:$A$301,TRIM(任务!J292))=0))))</f>
        <v>0</v>
      </c>
      <c r="H311" s="17">
        <f>IF($B311="",0,--(NOT(ISNUMBER(任务!I292))))</f>
        <v>0</v>
      </c>
      <c r="I311" s="17">
        <f t="shared" si="9"/>
        <v>0</v>
      </c>
    </row>
    <row r="312" spans="1:9">
      <c r="A312" s="15">
        <f t="shared" si="8"/>
        <v>293</v>
      </c>
      <c r="B312" s="16" t="str">
        <f>IF(任务!A293="","",任务!A293)</f>
        <v/>
      </c>
      <c r="C312" s="17">
        <f>IF($B312="",0,--(COUNTIF(任务!$A$2:$A$301,$B312)&gt;1))</f>
        <v>0</v>
      </c>
      <c r="D312" s="17">
        <f>IF($B312="",0,--(OR(任务!B293="",任务!C293="",任务!E293="",任务!G293="",任务!H293="",NOT(ISNUMBER(任务!I293)))))</f>
        <v>0</v>
      </c>
      <c r="E312" s="17">
        <f>IF($B312="",0,--(AND(任务!G293&lt;&gt;"",任务!H293&lt;&gt;"",任务!G293&gt;任务!H293)))</f>
        <v>0</v>
      </c>
      <c r="F312" s="17">
        <f>IF($B312="",0,--(OR(任务!I293&lt;0,任务!I293&gt;100)))</f>
        <v>0</v>
      </c>
      <c r="G312" s="17">
        <f>IF($B312="",0,IF(ISNUMBER(SEARCH(",",任务!J293)),0,IF(任务!J293="",0,--(COUNTIF(任务!$A$2:$A$301,TRIM(任务!J293))=0))))</f>
        <v>0</v>
      </c>
      <c r="H312" s="17">
        <f>IF($B312="",0,--(NOT(ISNUMBER(任务!I293))))</f>
        <v>0</v>
      </c>
      <c r="I312" s="17">
        <f t="shared" si="9"/>
        <v>0</v>
      </c>
    </row>
    <row r="313" spans="1:9">
      <c r="A313" s="15">
        <f t="shared" si="8"/>
        <v>294</v>
      </c>
      <c r="B313" s="16" t="str">
        <f>IF(任务!A294="","",任务!A294)</f>
        <v/>
      </c>
      <c r="C313" s="17">
        <f>IF($B313="",0,--(COUNTIF(任务!$A$2:$A$301,$B313)&gt;1))</f>
        <v>0</v>
      </c>
      <c r="D313" s="17">
        <f>IF($B313="",0,--(OR(任务!B294="",任务!C294="",任务!E294="",任务!G294="",任务!H294="",NOT(ISNUMBER(任务!I294)))))</f>
        <v>0</v>
      </c>
      <c r="E313" s="17">
        <f>IF($B313="",0,--(AND(任务!G294&lt;&gt;"",任务!H294&lt;&gt;"",任务!G294&gt;任务!H294)))</f>
        <v>0</v>
      </c>
      <c r="F313" s="17">
        <f>IF($B313="",0,--(OR(任务!I294&lt;0,任务!I294&gt;100)))</f>
        <v>0</v>
      </c>
      <c r="G313" s="17">
        <f>IF($B313="",0,IF(ISNUMBER(SEARCH(",",任务!J294)),0,IF(任务!J294="",0,--(COUNTIF(任务!$A$2:$A$301,TRIM(任务!J294))=0))))</f>
        <v>0</v>
      </c>
      <c r="H313" s="17">
        <f>IF($B313="",0,--(NOT(ISNUMBER(任务!I294))))</f>
        <v>0</v>
      </c>
      <c r="I313" s="17">
        <f t="shared" si="9"/>
        <v>0</v>
      </c>
    </row>
    <row r="314" spans="1:9">
      <c r="A314" s="15">
        <f t="shared" si="8"/>
        <v>295</v>
      </c>
      <c r="B314" s="16" t="str">
        <f>IF(任务!A295="","",任务!A295)</f>
        <v/>
      </c>
      <c r="C314" s="17">
        <f>IF($B314="",0,--(COUNTIF(任务!$A$2:$A$301,$B314)&gt;1))</f>
        <v>0</v>
      </c>
      <c r="D314" s="17">
        <f>IF($B314="",0,--(OR(任务!B295="",任务!C295="",任务!E295="",任务!G295="",任务!H295="",NOT(ISNUMBER(任务!I295)))))</f>
        <v>0</v>
      </c>
      <c r="E314" s="17">
        <f>IF($B314="",0,--(AND(任务!G295&lt;&gt;"",任务!H295&lt;&gt;"",任务!G295&gt;任务!H295)))</f>
        <v>0</v>
      </c>
      <c r="F314" s="17">
        <f>IF($B314="",0,--(OR(任务!I295&lt;0,任务!I295&gt;100)))</f>
        <v>0</v>
      </c>
      <c r="G314" s="17">
        <f>IF($B314="",0,IF(ISNUMBER(SEARCH(",",任务!J295)),0,IF(任务!J295="",0,--(COUNTIF(任务!$A$2:$A$301,TRIM(任务!J295))=0))))</f>
        <v>0</v>
      </c>
      <c r="H314" s="17">
        <f>IF($B314="",0,--(NOT(ISNUMBER(任务!I295))))</f>
        <v>0</v>
      </c>
      <c r="I314" s="17">
        <f t="shared" si="9"/>
        <v>0</v>
      </c>
    </row>
    <row r="315" spans="1:9">
      <c r="A315" s="15">
        <f t="shared" si="8"/>
        <v>296</v>
      </c>
      <c r="B315" s="16" t="str">
        <f>IF(任务!A296="","",任务!A296)</f>
        <v/>
      </c>
      <c r="C315" s="17">
        <f>IF($B315="",0,--(COUNTIF(任务!$A$2:$A$301,$B315)&gt;1))</f>
        <v>0</v>
      </c>
      <c r="D315" s="17">
        <f>IF($B315="",0,--(OR(任务!B296="",任务!C296="",任务!E296="",任务!G296="",任务!H296="",NOT(ISNUMBER(任务!I296)))))</f>
        <v>0</v>
      </c>
      <c r="E315" s="17">
        <f>IF($B315="",0,--(AND(任务!G296&lt;&gt;"",任务!H296&lt;&gt;"",任务!G296&gt;任务!H296)))</f>
        <v>0</v>
      </c>
      <c r="F315" s="17">
        <f>IF($B315="",0,--(OR(任务!I296&lt;0,任务!I296&gt;100)))</f>
        <v>0</v>
      </c>
      <c r="G315" s="17">
        <f>IF($B315="",0,IF(ISNUMBER(SEARCH(",",任务!J296)),0,IF(任务!J296="",0,--(COUNTIF(任务!$A$2:$A$301,TRIM(任务!J296))=0))))</f>
        <v>0</v>
      </c>
      <c r="H315" s="17">
        <f>IF($B315="",0,--(NOT(ISNUMBER(任务!I296))))</f>
        <v>0</v>
      </c>
      <c r="I315" s="17">
        <f t="shared" si="9"/>
        <v>0</v>
      </c>
    </row>
    <row r="316" spans="1:9">
      <c r="A316" s="15">
        <f t="shared" si="8"/>
        <v>297</v>
      </c>
      <c r="B316" s="16" t="str">
        <f>IF(任务!A297="","",任务!A297)</f>
        <v/>
      </c>
      <c r="C316" s="17">
        <f>IF($B316="",0,--(COUNTIF(任务!$A$2:$A$301,$B316)&gt;1))</f>
        <v>0</v>
      </c>
      <c r="D316" s="17">
        <f>IF($B316="",0,--(OR(任务!B297="",任务!C297="",任务!E297="",任务!G297="",任务!H297="",NOT(ISNUMBER(任务!I297)))))</f>
        <v>0</v>
      </c>
      <c r="E316" s="17">
        <f>IF($B316="",0,--(AND(任务!G297&lt;&gt;"",任务!H297&lt;&gt;"",任务!G297&gt;任务!H297)))</f>
        <v>0</v>
      </c>
      <c r="F316" s="17">
        <f>IF($B316="",0,--(OR(任务!I297&lt;0,任务!I297&gt;100)))</f>
        <v>0</v>
      </c>
      <c r="G316" s="17">
        <f>IF($B316="",0,IF(ISNUMBER(SEARCH(",",任务!J297)),0,IF(任务!J297="",0,--(COUNTIF(任务!$A$2:$A$301,TRIM(任务!J297))=0))))</f>
        <v>0</v>
      </c>
      <c r="H316" s="17">
        <f>IF($B316="",0,--(NOT(ISNUMBER(任务!I297))))</f>
        <v>0</v>
      </c>
      <c r="I316" s="17">
        <f t="shared" si="9"/>
        <v>0</v>
      </c>
    </row>
    <row r="317" spans="1:9">
      <c r="A317" s="15">
        <f t="shared" si="8"/>
        <v>298</v>
      </c>
      <c r="B317" s="16" t="str">
        <f>IF(任务!A298="","",任务!A298)</f>
        <v/>
      </c>
      <c r="C317" s="17">
        <f>IF($B317="",0,--(COUNTIF(任务!$A$2:$A$301,$B317)&gt;1))</f>
        <v>0</v>
      </c>
      <c r="D317" s="17">
        <f>IF($B317="",0,--(OR(任务!B298="",任务!C298="",任务!E298="",任务!G298="",任务!H298="",NOT(ISNUMBER(任务!I298)))))</f>
        <v>0</v>
      </c>
      <c r="E317" s="17">
        <f>IF($B317="",0,--(AND(任务!G298&lt;&gt;"",任务!H298&lt;&gt;"",任务!G298&gt;任务!H298)))</f>
        <v>0</v>
      </c>
      <c r="F317" s="17">
        <f>IF($B317="",0,--(OR(任务!I298&lt;0,任务!I298&gt;100)))</f>
        <v>0</v>
      </c>
      <c r="G317" s="17">
        <f>IF($B317="",0,IF(ISNUMBER(SEARCH(",",任务!J298)),0,IF(任务!J298="",0,--(COUNTIF(任务!$A$2:$A$301,TRIM(任务!J298))=0))))</f>
        <v>0</v>
      </c>
      <c r="H317" s="17">
        <f>IF($B317="",0,--(NOT(ISNUMBER(任务!I298))))</f>
        <v>0</v>
      </c>
      <c r="I317" s="17">
        <f t="shared" si="9"/>
        <v>0</v>
      </c>
    </row>
    <row r="318" spans="1:9">
      <c r="A318" s="15">
        <f t="shared" si="8"/>
        <v>299</v>
      </c>
      <c r="B318" s="16" t="str">
        <f>IF(任务!A299="","",任务!A299)</f>
        <v/>
      </c>
      <c r="C318" s="17">
        <f>IF($B318="",0,--(COUNTIF(任务!$A$2:$A$301,$B318)&gt;1))</f>
        <v>0</v>
      </c>
      <c r="D318" s="17">
        <f>IF($B318="",0,--(OR(任务!B299="",任务!C299="",任务!E299="",任务!G299="",任务!H299="",NOT(ISNUMBER(任务!I299)))))</f>
        <v>0</v>
      </c>
      <c r="E318" s="17">
        <f>IF($B318="",0,--(AND(任务!G299&lt;&gt;"",任务!H299&lt;&gt;"",任务!G299&gt;任务!H299)))</f>
        <v>0</v>
      </c>
      <c r="F318" s="17">
        <f>IF($B318="",0,--(OR(任务!I299&lt;0,任务!I299&gt;100)))</f>
        <v>0</v>
      </c>
      <c r="G318" s="17">
        <f>IF($B318="",0,IF(ISNUMBER(SEARCH(",",任务!J299)),0,IF(任务!J299="",0,--(COUNTIF(任务!$A$2:$A$301,TRIM(任务!J299))=0))))</f>
        <v>0</v>
      </c>
      <c r="H318" s="17">
        <f>IF($B318="",0,--(NOT(ISNUMBER(任务!I299))))</f>
        <v>0</v>
      </c>
      <c r="I318" s="17">
        <f t="shared" si="9"/>
        <v>0</v>
      </c>
    </row>
    <row r="319" spans="1:9">
      <c r="A319" s="15">
        <f t="shared" si="8"/>
        <v>300</v>
      </c>
      <c r="B319" s="16" t="str">
        <f>IF(任务!A300="","",任务!A300)</f>
        <v/>
      </c>
      <c r="C319" s="17">
        <f>IF($B319="",0,--(COUNTIF(任务!$A$2:$A$301,$B319)&gt;1))</f>
        <v>0</v>
      </c>
      <c r="D319" s="17">
        <f>IF($B319="",0,--(OR(任务!B300="",任务!C300="",任务!E300="",任务!G300="",任务!H300="",NOT(ISNUMBER(任务!I300)))))</f>
        <v>0</v>
      </c>
      <c r="E319" s="17">
        <f>IF($B319="",0,--(AND(任务!G300&lt;&gt;"",任务!H300&lt;&gt;"",任务!G300&gt;任务!H300)))</f>
        <v>0</v>
      </c>
      <c r="F319" s="17">
        <f>IF($B319="",0,--(OR(任务!I300&lt;0,任务!I300&gt;100)))</f>
        <v>0</v>
      </c>
      <c r="G319" s="17">
        <f>IF($B319="",0,IF(ISNUMBER(SEARCH(",",任务!J300)),0,IF(任务!J300="",0,--(COUNTIF(任务!$A$2:$A$301,TRIM(任务!J300))=0))))</f>
        <v>0</v>
      </c>
      <c r="H319" s="17">
        <f>IF($B319="",0,--(NOT(ISNUMBER(任务!I300))))</f>
        <v>0</v>
      </c>
      <c r="I319" s="17">
        <f t="shared" si="9"/>
        <v>0</v>
      </c>
    </row>
    <row r="320" spans="1:9">
      <c r="A320" s="15">
        <f t="shared" si="8"/>
        <v>301</v>
      </c>
      <c r="B320" s="16" t="str">
        <f>IF(任务!A301="","",任务!A301)</f>
        <v/>
      </c>
      <c r="C320" s="17">
        <f>IF($B320="",0,--(COUNTIF(任务!$A$2:$A$301,$B320)&gt;1))</f>
        <v>0</v>
      </c>
      <c r="D320" s="17">
        <f>IF($B320="",0,--(OR(任务!B301="",任务!C301="",任务!E301="",任务!G301="",任务!H301="",NOT(ISNUMBER(任务!I301)))))</f>
        <v>0</v>
      </c>
      <c r="E320" s="17">
        <f>IF($B320="",0,--(AND(任务!G301&lt;&gt;"",任务!H301&lt;&gt;"",任务!G301&gt;任务!H301)))</f>
        <v>0</v>
      </c>
      <c r="F320" s="17">
        <f>IF($B320="",0,--(OR(任务!I301&lt;0,任务!I301&gt;100)))</f>
        <v>0</v>
      </c>
      <c r="G320" s="17">
        <f>IF($B320="",0,IF(ISNUMBER(SEARCH(",",任务!J301)),0,IF(任务!J301="",0,--(COUNTIF(任务!$A$2:$A$301,TRIM(任务!J301))=0))))</f>
        <v>0</v>
      </c>
      <c r="H320" s="17">
        <f>IF($B320="",0,--(NOT(ISNUMBER(任务!I301))))</f>
        <v>0</v>
      </c>
      <c r="I320" s="17">
        <f t="shared" si="9"/>
        <v>0</v>
      </c>
    </row>
  </sheetData>
  <mergeCells count="5">
    <mergeCell ref="A1:H1"/>
    <mergeCell ref="A2:H2"/>
    <mergeCell ref="A4:F4"/>
    <mergeCell ref="A17:H17"/>
    <mergeCell ref="A19:H19"/>
  </mergeCells>
  <phoneticPr fontId="10" type="noConversion"/>
  <conditionalFormatting sqref="A21:I320">
    <cfRule type="expression" dxfId="0" priority="1">
      <formula>$H21&gt;0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项目配置</vt:lpstr>
      <vt:lpstr>任务</vt:lpstr>
      <vt:lpstr>选项字典</vt:lpstr>
      <vt:lpstr>数据自检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一浩 徐</cp:lastModifiedBy>
  <dcterms:modified xsi:type="dcterms:W3CDTF">2026-08-07T08:28:59Z</dcterms:modified>
</cp:coreProperties>
</file>